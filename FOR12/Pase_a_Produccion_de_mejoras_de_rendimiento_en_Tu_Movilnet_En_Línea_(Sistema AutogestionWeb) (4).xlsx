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9630" tabRatio="689" activeTab="5"/>
  </bookViews>
  <sheets>
    <sheet name="Datos Generales" sheetId="1" r:id="rId1"/>
    <sheet name="Plan de trabajo" sheetId="9" r:id="rId2"/>
    <sheet name="Impacto" sheetId="8" r:id="rId3"/>
    <sheet name="Plan de Regreso" sheetId="5" r:id="rId4"/>
    <sheet name="Plan de Respaldo o Contingencia" sheetId="7" r:id="rId5"/>
    <sheet name="Plan de Pruebas" sheetId="6" r:id="rId6"/>
  </sheets>
  <calcPr calcId="144525"/>
</workbook>
</file>

<file path=xl/calcChain.xml><?xml version="1.0" encoding="utf-8"?>
<calcChain xmlns="http://schemas.openxmlformats.org/spreadsheetml/2006/main">
  <c r="E15" i="5" l="1"/>
  <c r="F15" i="5" l="1"/>
  <c r="E16" i="5" s="1"/>
  <c r="F16" i="5" s="1"/>
  <c r="E17" i="5" s="1"/>
  <c r="F17" i="5" s="1"/>
  <c r="E18" i="5" s="1"/>
  <c r="F18" i="5" s="1"/>
  <c r="E19" i="5" l="1"/>
  <c r="F19" i="5" s="1"/>
  <c r="E20" i="5" s="1"/>
  <c r="F20" i="5" s="1"/>
  <c r="E8" i="9" l="1"/>
  <c r="E11" i="9" l="1"/>
  <c r="D12" i="9" l="1"/>
  <c r="E12" i="9" s="1"/>
  <c r="D13" i="9" s="1"/>
  <c r="D9" i="9" l="1"/>
  <c r="E9" i="9" s="1"/>
  <c r="E13" i="9"/>
  <c r="D14" i="9" l="1"/>
  <c r="E14" i="9" s="1"/>
  <c r="D15" i="9" s="1"/>
  <c r="E15" i="9" s="1"/>
  <c r="D16" i="9" s="1"/>
  <c r="E16" i="9" s="1"/>
  <c r="D17" i="9" s="1"/>
  <c r="E17" i="9" s="1"/>
  <c r="D18" i="9" s="1"/>
  <c r="E18" i="9" s="1"/>
  <c r="D19" i="9" s="1"/>
  <c r="E19" i="9" s="1"/>
  <c r="D20" i="9" l="1"/>
  <c r="D15" i="6" s="1"/>
  <c r="E15" i="6" s="1"/>
  <c r="D16" i="6" s="1"/>
  <c r="E16" i="6" l="1"/>
  <c r="D17" i="6" s="1"/>
  <c r="E17" i="6" s="1"/>
  <c r="D18" i="6" s="1"/>
  <c r="E18" i="6" s="1"/>
  <c r="D19" i="6" s="1"/>
  <c r="E19" i="6" s="1"/>
  <c r="D20" i="6" s="1"/>
  <c r="E20" i="6" s="1"/>
  <c r="D21" i="6" s="1"/>
  <c r="E21" i="6" s="1"/>
  <c r="D22" i="6" s="1"/>
  <c r="E22" i="6" s="1"/>
  <c r="D23" i="6" s="1"/>
  <c r="E23" i="6" s="1"/>
  <c r="E20" i="9"/>
  <c r="D21" i="9" s="1"/>
  <c r="E21" i="9" s="1"/>
  <c r="D22" i="9" l="1"/>
  <c r="E14" i="5"/>
  <c r="E22" i="9"/>
</calcChain>
</file>

<file path=xl/comments1.xml><?xml version="1.0" encoding="utf-8"?>
<comments xmlns="http://schemas.openxmlformats.org/spreadsheetml/2006/main">
  <authors>
    <author>ljimen03</author>
  </authors>
  <commentList>
    <comment ref="A6" authorId="0">
      <text>
        <r>
          <rPr>
            <b/>
            <sz val="9"/>
            <rFont val="Tahoma"/>
            <family val="2"/>
          </rPr>
          <t>Debe de indicar la Gerencia General a la cual pertenece la persona responsable de la solicitud</t>
        </r>
        <r>
          <rPr>
            <sz val="9"/>
            <rFont val="Tahoma"/>
            <family val="2"/>
          </rPr>
          <t xml:space="preserve">
</t>
        </r>
      </text>
    </comment>
    <comment ref="C6" authorId="0">
      <text>
        <r>
          <rPr>
            <b/>
            <sz val="9"/>
            <rFont val="Tahoma"/>
            <family val="2"/>
          </rPr>
          <t xml:space="preserve">Indicar Gerencia a la cual pertenece solicitante del cambio </t>
        </r>
        <r>
          <rPr>
            <sz val="9"/>
            <rFont val="Tahoma"/>
            <family val="2"/>
          </rPr>
          <t xml:space="preserve">
</t>
        </r>
      </text>
    </comment>
    <comment ref="E6" authorId="0">
      <text>
        <r>
          <rPr>
            <b/>
            <sz val="9"/>
            <rFont val="Tahoma"/>
            <family val="2"/>
          </rPr>
          <t>Indicar Coordinacion del responsable del cambio si aplica.</t>
        </r>
        <r>
          <rPr>
            <sz val="9"/>
            <rFont val="Tahoma"/>
            <family val="2"/>
          </rPr>
          <t xml:space="preserve">
</t>
        </r>
      </text>
    </comment>
    <comment ref="A10" authorId="0">
      <text>
        <r>
          <rPr>
            <b/>
            <sz val="9"/>
            <rFont val="Tahoma"/>
            <family val="2"/>
          </rPr>
          <t>Debe de indicar la Gerencia General a la cual pertenece la persona que va ejecutar el trabajo.</t>
        </r>
        <r>
          <rPr>
            <sz val="9"/>
            <rFont val="Tahoma"/>
            <family val="2"/>
          </rPr>
          <t xml:space="preserve">
</t>
        </r>
      </text>
    </comment>
    <comment ref="C10" authorId="0">
      <text>
        <r>
          <rPr>
            <b/>
            <sz val="9"/>
            <rFont val="Tahoma"/>
            <family val="2"/>
          </rPr>
          <t xml:space="preserve">Indicar Gerencia a la cual pertenece. 
</t>
        </r>
      </text>
    </comment>
    <comment ref="E10" authorId="0">
      <text>
        <r>
          <rPr>
            <b/>
            <sz val="9"/>
            <rFont val="Tahoma"/>
            <family val="2"/>
          </rPr>
          <t>Indicar Coordinacion que pertenece si aplica.</t>
        </r>
        <r>
          <rPr>
            <sz val="9"/>
            <rFont val="Tahoma"/>
            <family val="2"/>
          </rPr>
          <t xml:space="preserve">
</t>
        </r>
      </text>
    </comment>
    <comment ref="A17" authorId="0">
      <text>
        <r>
          <rPr>
            <b/>
            <sz val="9"/>
            <rFont val="Tahoma"/>
            <family val="2"/>
          </rPr>
          <t>Resumen de manera clara el cambio que se propone a ejecutar, haciendo énfasis en los aspectos relevantes del cambio, elemento de red, y localidad.</t>
        </r>
        <r>
          <rPr>
            <sz val="9"/>
            <rFont val="Tahoma"/>
            <family val="2"/>
          </rPr>
          <t xml:space="preserve">
</t>
        </r>
      </text>
    </comment>
    <comment ref="A20" authorId="0">
      <text>
        <r>
          <rPr>
            <b/>
            <sz val="9"/>
            <rFont val="Tahoma"/>
            <family val="2"/>
          </rPr>
          <t>Argumentar la solicitud del cambio que desea realizar se debe describir de manera clara lo que se propone a ejecutar, haciendo énfasis en los aspectos relevantes del cambio.</t>
        </r>
      </text>
    </comment>
    <comment ref="A21" authorId="0">
      <text>
        <r>
          <rPr>
            <b/>
            <sz val="9"/>
            <rFont val="Tahoma"/>
            <family val="2"/>
          </rPr>
          <t>Responsable del Control del Cambio</t>
        </r>
      </text>
    </comment>
    <comment ref="A27" authorId="0">
      <text>
        <r>
          <rPr>
            <b/>
            <sz val="9"/>
            <rFont val="Tahoma"/>
            <family val="2"/>
          </rPr>
          <t>Señale los nombres con que se identifican habitualmente los equipos, Servicios,  aplicaciones, bases de datos, entre otros que se van a intervenir directamente durante la ejecución del cambio.</t>
        </r>
        <r>
          <rPr>
            <sz val="9"/>
            <rFont val="Tahoma"/>
            <family val="2"/>
          </rPr>
          <t xml:space="preserve">
</t>
        </r>
      </text>
    </comment>
    <comment ref="A30" authorId="0">
      <text>
        <r>
          <rPr>
            <b/>
            <sz val="9"/>
            <rFont val="Tahoma"/>
            <family val="2"/>
          </rPr>
          <t>En caso de que el trabajo sea en sitio, se debe indicar region, edificio, pisos, y salas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ljimen03</author>
  </authors>
  <commentList>
    <comment ref="C2" authorId="0">
      <text>
        <r>
          <rPr>
            <b/>
            <sz val="9"/>
            <rFont val="Tahoma"/>
            <family val="2"/>
          </rPr>
          <t xml:space="preserve">Por favor, describa a continuación el plan de trabajo concebido para la ejecución del cambio propuesto identificando: Descripción de la actividad, duración, si tiene afectacion de servicio y los responsables de dicha tarea. se deben de agregar las tareas por día no mayor a 12 horas. Las actividades deben guardar un orden secuencial y lógico desde el punto de vista de su ejecución. </t>
        </r>
      </text>
    </comment>
  </commentList>
</comments>
</file>

<file path=xl/comments3.xml><?xml version="1.0" encoding="utf-8"?>
<comments xmlns="http://schemas.openxmlformats.org/spreadsheetml/2006/main">
  <authors>
    <author>ljimen03</author>
  </authors>
  <commentList>
    <comment ref="D7" authorId="0">
      <text>
        <r>
          <rPr>
            <b/>
            <sz val="9"/>
            <rFont val="Tahoma"/>
            <family val="2"/>
          </rPr>
          <t>Por favor debe de Marcar unas de las casillas del tipo de afectacion.</t>
        </r>
        <r>
          <rPr>
            <sz val="9"/>
            <rFont val="Tahoma"/>
            <family val="2"/>
          </rPr>
          <t xml:space="preserve">
</t>
        </r>
      </text>
    </comment>
    <comment ref="A16" authorId="0">
      <text>
        <r>
          <rPr>
            <b/>
            <sz val="9"/>
            <rFont val="Tahoma"/>
            <family val="2"/>
          </rPr>
          <t xml:space="preserve">Describir con nombre el equipo a intervenir </t>
        </r>
        <r>
          <rPr>
            <sz val="9"/>
            <rFont val="Tahoma"/>
            <family val="2"/>
          </rPr>
          <t xml:space="preserve">
</t>
        </r>
      </text>
    </comment>
    <comment ref="C16" authorId="0">
      <text>
        <r>
          <rPr>
            <b/>
            <sz val="9"/>
            <rFont val="Tahoma"/>
            <family val="2"/>
          </rPr>
          <t xml:space="preserve">Indicar si se encuentra en funcionamiento dicho equipo </t>
        </r>
        <r>
          <rPr>
            <sz val="9"/>
            <rFont val="Tahoma"/>
            <family val="2"/>
          </rPr>
          <t xml:space="preserve">
</t>
        </r>
      </text>
    </comment>
    <comment ref="E16" authorId="0">
      <text>
        <r>
          <rPr>
            <b/>
            <sz val="9"/>
            <rFont val="Tahoma"/>
            <family val="2"/>
          </rPr>
          <t xml:space="preserve">Indicar plataformas o servicios que se enecuentran en esos  equipos asociados . </t>
        </r>
        <r>
          <rPr>
            <sz val="9"/>
            <rFont val="Tahoma"/>
            <family val="2"/>
          </rPr>
          <t xml:space="preserve">
</t>
        </r>
      </text>
    </comment>
    <comment ref="F16" authorId="0">
      <text>
        <r>
          <rPr>
            <b/>
            <sz val="9"/>
            <rFont val="Tahoma"/>
            <family val="2"/>
          </rPr>
          <t>Indicar si dichas plataforma y servicios estan en funcinamiento.</t>
        </r>
        <r>
          <rPr>
            <sz val="9"/>
            <rFont val="Tahoma"/>
            <family val="2"/>
          </rPr>
          <t xml:space="preserve">
</t>
        </r>
      </text>
    </comment>
    <comment ref="G16" authorId="0">
      <text>
        <r>
          <rPr>
            <b/>
            <sz val="9"/>
            <rFont val="Tahoma"/>
            <family val="2"/>
          </rPr>
          <t xml:space="preserve">Unidad responsable a intervenir dichos equipos 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ljimen03</author>
  </authors>
  <commentList>
    <comment ref="C3" authorId="0">
      <text>
        <r>
          <rPr>
            <b/>
            <sz val="9"/>
            <rFont val="Tahoma"/>
            <family val="2"/>
          </rPr>
          <t xml:space="preserve">Este debe de estar contemplado antes de la finalizacion descrita en el plan de trabajo </t>
        </r>
        <r>
          <rPr>
            <sz val="9"/>
            <rFont val="Tahoma"/>
            <family val="2"/>
          </rPr>
          <t xml:space="preserve">
</t>
        </r>
      </text>
    </comment>
    <comment ref="A12" authorId="0">
      <text>
        <r>
          <rPr>
            <sz val="9"/>
            <rFont val="Tahoma"/>
            <family val="2"/>
          </rPr>
          <t xml:space="preserve">Describir el plan de regreso con los items abajo mencionados.
</t>
        </r>
      </text>
    </comment>
  </commentList>
</comments>
</file>

<file path=xl/comments5.xml><?xml version="1.0" encoding="utf-8"?>
<comments xmlns="http://schemas.openxmlformats.org/spreadsheetml/2006/main">
  <authors>
    <author>ljimen03</author>
  </authors>
  <commentList>
    <comment ref="C3" authorId="0">
      <text>
        <r>
          <rPr>
            <b/>
            <sz val="9"/>
            <rFont val="Tahoma"/>
            <family val="2"/>
          </rPr>
          <t xml:space="preserve">Indicar si se tiene un plan de respaldo o contingencia  a la hora de presentarse un inconveniente que no permite continuar con la actividad.
</t>
        </r>
      </text>
    </comment>
  </commentList>
</comments>
</file>

<file path=xl/comments6.xml><?xml version="1.0" encoding="utf-8"?>
<comments xmlns="http://schemas.openxmlformats.org/spreadsheetml/2006/main">
  <authors>
    <author>ljimen03</author>
  </authors>
  <commentList>
    <comment ref="C3" authorId="0">
      <text>
        <r>
          <rPr>
            <b/>
            <sz val="9"/>
            <rFont val="Tahoma"/>
            <family val="2"/>
          </rPr>
          <t xml:space="preserve">Describir las pruebas al realizar antes, durante y despues de la ventana 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<sst xmlns="http://schemas.openxmlformats.org/spreadsheetml/2006/main" count="191" uniqueCount="117">
  <si>
    <t>SOLICITUD DE CAMBIO PROGRAMADO</t>
  </si>
  <si>
    <t xml:space="preserve">UNIDAD SOLICITANTE RESPONSABLE </t>
  </si>
  <si>
    <t>Gerencia General</t>
  </si>
  <si>
    <t>Gerencia</t>
  </si>
  <si>
    <t>Coordinación</t>
  </si>
  <si>
    <t xml:space="preserve">UNIDAD EJECUTANTE RESPONSABLE </t>
  </si>
  <si>
    <t>DATOS  GENERALES</t>
  </si>
  <si>
    <t>DESCRIPCION DEL CAMBIO</t>
  </si>
  <si>
    <t>JUSTIFICACION DEL CAMBIO</t>
  </si>
  <si>
    <t>RESPONSABLES POR MOVILNET</t>
  </si>
  <si>
    <t>RESPONSABLE SOLICITANTE</t>
  </si>
  <si>
    <t>MOVIL</t>
  </si>
  <si>
    <t>RESPONSABLE EJECUTANTE</t>
  </si>
  <si>
    <t>INDIQUE SERVICIOS O PLATAFORMAS DISPONIBLES PARA EL CAMBIO</t>
  </si>
  <si>
    <t xml:space="preserve">UBICACIÓN FISICA DEL CAMBIO </t>
  </si>
  <si>
    <t>PLAN DE TRABAJO</t>
  </si>
  <si>
    <t>N°</t>
  </si>
  <si>
    <t>ACTIVIDAD</t>
  </si>
  <si>
    <t>FECHA Y HORA DE INICIO</t>
  </si>
  <si>
    <t>FECHA Y HORA FIN</t>
  </si>
  <si>
    <t>APLICA AFECTACION DE SERVICIO</t>
  </si>
  <si>
    <t>RESPONSABLE</t>
  </si>
  <si>
    <t>OBSERVACIONES</t>
  </si>
  <si>
    <t>SI</t>
  </si>
  <si>
    <t>NO</t>
  </si>
  <si>
    <t>X</t>
  </si>
  <si>
    <t>Notificar a los involucrados los resultados de las pruebas. Fin de la ventana.</t>
  </si>
  <si>
    <t>EVALUACION DEL IMPACTO Y EL RIESGO</t>
  </si>
  <si>
    <t>TIPO DE AFECTACION</t>
  </si>
  <si>
    <t>Sin Afectación</t>
  </si>
  <si>
    <t>(X)</t>
  </si>
  <si>
    <t>Intermitencia</t>
  </si>
  <si>
    <t>( )</t>
  </si>
  <si>
    <t>Afectacion Parcial</t>
  </si>
  <si>
    <t>Afectaciòn Total</t>
  </si>
  <si>
    <t>()</t>
  </si>
  <si>
    <t>EQUIPO(S) A INTERVENIR</t>
  </si>
  <si>
    <t>EQUIPOS</t>
  </si>
  <si>
    <t>FUNCIONAL</t>
  </si>
  <si>
    <t>SERVICIOS Y/O PLATAFORMAS ASOCIADAS:</t>
  </si>
  <si>
    <t>UNIDAD RESPONSABLE</t>
  </si>
  <si>
    <t>PLAN DE REGRESO</t>
  </si>
  <si>
    <t>DE NO APLICAR JUSTIFIQUE</t>
  </si>
  <si>
    <t>DE APLICAR LLENAR LOS CAMPOS</t>
  </si>
  <si>
    <t>FECHA Y HORA INICIO</t>
  </si>
  <si>
    <t>PLAN DE RESPALDO O CONTINGENCIA</t>
  </si>
  <si>
    <t>PLAN DE PRUEBAS</t>
  </si>
  <si>
    <t>Nombre del Sistema:</t>
  </si>
  <si>
    <t>Tipo de Prueba:</t>
  </si>
  <si>
    <t>(  ) Unitarias</t>
  </si>
  <si>
    <t>(  )  Stress</t>
  </si>
  <si>
    <t>(  )  Aceptacion</t>
  </si>
  <si>
    <t>Módulo:</t>
  </si>
  <si>
    <t>Fecha:</t>
  </si>
  <si>
    <t>Hora:</t>
  </si>
  <si>
    <t>PRUEBAS TECNICAS</t>
  </si>
  <si>
    <t>ACTIVIDADES</t>
  </si>
  <si>
    <t>INICIO</t>
  </si>
  <si>
    <t>FIN</t>
  </si>
  <si>
    <t>RESULTADO ESPERADO</t>
  </si>
  <si>
    <t>RESULTADO OBTENIDO</t>
  </si>
  <si>
    <t>N/A</t>
  </si>
  <si>
    <t>ACTIVIDADES PREVIAS</t>
  </si>
  <si>
    <t>ACTIVIDADES DEL TRABAJO</t>
  </si>
  <si>
    <t xml:space="preserve">Implementación </t>
  </si>
  <si>
    <t xml:space="preserve">Gerencia General de Liberaciones e Implementación de Soluciones TI </t>
  </si>
  <si>
    <t xml:space="preserve">Gerencia de Implementación y Estabilización </t>
  </si>
  <si>
    <t>Validación de los servicios del Aplicativo</t>
  </si>
  <si>
    <t>Gestión de Liberación de Soluciones TI</t>
  </si>
  <si>
    <t>Liberación y Seguimiento a la Gestión del Cambio de Soluciones TI</t>
  </si>
  <si>
    <t>El Recreo</t>
  </si>
  <si>
    <t>Cesar Ávila Telf.: 412-960-9960 Coord. de Plataforma de Aplicaciones</t>
  </si>
  <si>
    <t>Cesar Ávila Telf.: 412-960-9960 Coord. Plataforma de Aplicaciones</t>
  </si>
  <si>
    <t>(X) Integrales</t>
  </si>
  <si>
    <t xml:space="preserve">Suspender una linea exitosamente </t>
  </si>
  <si>
    <t>Visualización de Datos del Cliente y Gráficas de Consumo</t>
  </si>
  <si>
    <t>Actualización de Datos</t>
  </si>
  <si>
    <t>Cambio de Plan</t>
  </si>
  <si>
    <t>suspención de linea.</t>
  </si>
  <si>
    <t>Envío de clave de autogestión</t>
  </si>
  <si>
    <t>Consultar abonado con múltiples líneas adicionales</t>
  </si>
  <si>
    <t xml:space="preserve">Recibir la clave del usuario exitosamente </t>
  </si>
  <si>
    <t>Datos personales completos y gráficas actualizadas (llamadas, SMS, datos).</t>
  </si>
  <si>
    <t>Sistema registra cambios y muestra confirmación.</t>
  </si>
  <si>
    <t>Cambio exitoso con notificación y actualización inmediata del plan.</t>
  </si>
  <si>
    <t>Que el sistema muestre correctamente las líneas adicionales del usuario y que al seleccionarlas se muestren correctamente los datos del abonado y las graficas de consumo.</t>
  </si>
  <si>
    <t xml:space="preserve">Coordinacion de Implementacion hace envio del correo de INICIO, y notifica a todos los involucrados. </t>
  </si>
  <si>
    <t>Enviar confirmación por correo al equipo de implementación de que se realizaron los respaldos</t>
  </si>
  <si>
    <t>Enviar confirmación por correo al equipo de implementación de que se realizó el despliegue</t>
  </si>
  <si>
    <t>Enviar resultados de la validación por correo al equipo de implementación</t>
  </si>
  <si>
    <t>Llamar al cor para realizar la activación del CDC</t>
  </si>
  <si>
    <t>Realizar el deploy del build del frontend</t>
  </si>
  <si>
    <t xml:space="preserve">Realizar respaldo del archivo del build del frontend </t>
  </si>
  <si>
    <t>Afiliación y desafiliación de servicios</t>
  </si>
  <si>
    <t>Que el sistema afilie y desafilie los servicios correctamente</t>
  </si>
  <si>
    <t>Antonio Ruiz: Telf 0424-5977038  Coord. de Soporte de Aplicaciones para Gestión de Clientes</t>
  </si>
  <si>
    <t>Validar que el error de "El tiempo máximo de la sesion activa ha terminado" haya sido corregido</t>
  </si>
  <si>
    <t>INICIO de PLAN DE REVERSO</t>
  </si>
  <si>
    <t>Realizar el deploy del build del frontend Respaldado</t>
  </si>
  <si>
    <t>Autogestion Web</t>
  </si>
  <si>
    <t>Autogestión web</t>
  </si>
  <si>
    <t>MTB_AUTOWEB</t>
  </si>
  <si>
    <t>Validación del correcto funcionamiento de los servicios de RTB</t>
  </si>
  <si>
    <t>Validación del correcto funcionamiento de tu movilnet en linea (autogestión)</t>
  </si>
  <si>
    <t>x</t>
  </si>
  <si>
    <r>
      <t>El presente trabajo tiene como proposito realizar el despliegue de un nuevo relase en el ambiente de produccion para posteriormente realizar el pase a produccion de las mejoras en el rendimiento debido a la incidencia que afecta a ciertos usuarios no permitiendo el ingreso al aplicativo por el error "El tiempo máximo de la sesion activa ha terminado" y validar el funcionamiento correcto de todo el aplicativo (</t>
    </r>
    <r>
      <rPr>
        <b/>
        <sz val="10"/>
        <color rgb="FF000000"/>
        <rFont val="Calibri"/>
        <family val="2"/>
        <scheme val="minor"/>
      </rPr>
      <t>Autogestion Web</t>
    </r>
    <r>
      <rPr>
        <sz val="10"/>
        <color rgb="FF000000"/>
        <rFont val="Calibri"/>
        <family val="2"/>
        <scheme val="minor"/>
      </rPr>
      <t>).</t>
    </r>
  </si>
  <si>
    <t>bajar el Nginx</t>
  </si>
  <si>
    <t>Subir el Nginx</t>
  </si>
  <si>
    <t>Dailenys Rojas</t>
  </si>
  <si>
    <t>416-6284651</t>
  </si>
  <si>
    <t>Daniel Medina</t>
  </si>
  <si>
    <t>412-3539661</t>
  </si>
  <si>
    <t>Pase a Produccion de mejoras de rendimiento en Tu Movilnet En Línea (Sistema AutogestionWeb)</t>
  </si>
  <si>
    <t>Daniel Medina Telf.: 412-3539661 Coord. Implementación</t>
  </si>
  <si>
    <t>Validar que al tener la hora del dispositivo adelantada no arroje el error "El tiempo máximo de la sesion activa ha terminado", y se acceda correctamente a la sesión</t>
  </si>
  <si>
    <t>Validar que al tener la hora atrasada la sesion no sea extendida</t>
  </si>
  <si>
    <t>Validar que al tener la hora del dispositivo atrasada el tiempo de duración de la sesion no sea alterado.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</si>
</sst>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\ hh:mm:ss\ AM/PM"/>
    <numFmt numFmtId="165" formatCode="d/m/yyyy\ h:mm:ss\ AM/PM"/>
    <numFmt numFmtId="166" formatCode="[$-F400]h:mm:ss\ AM/PM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b/>
      <sz val="11"/>
      <name val="Verdana"/>
      <family val="2"/>
    </font>
    <font>
      <b/>
      <sz val="11"/>
      <color indexed="10"/>
      <name val="Verdana"/>
      <family val="2"/>
    </font>
    <font>
      <b/>
      <sz val="10"/>
      <color theme="0"/>
      <name val="Verdana"/>
      <family val="2"/>
    </font>
    <font>
      <sz val="10"/>
      <color theme="0"/>
      <name val="Verdana"/>
      <family val="2"/>
    </font>
    <font>
      <b/>
      <sz val="8"/>
      <color theme="0"/>
      <name val="Verdana"/>
      <family val="2"/>
    </font>
    <font>
      <sz val="10"/>
      <name val="Verdana"/>
      <family val="2"/>
    </font>
    <font>
      <b/>
      <sz val="11"/>
      <name val="Calibri"/>
      <family val="2"/>
    </font>
    <font>
      <b/>
      <sz val="11"/>
      <color indexed="10"/>
      <name val="Calibri"/>
      <family val="2"/>
    </font>
    <font>
      <sz val="10"/>
      <color indexed="8"/>
      <name val="Verdana"/>
      <family val="2"/>
    </font>
    <font>
      <b/>
      <sz val="11"/>
      <color theme="0"/>
      <name val="Verdana"/>
      <family val="2"/>
    </font>
    <font>
      <b/>
      <sz val="10"/>
      <color indexed="8"/>
      <name val="Verdana"/>
      <family val="2"/>
    </font>
    <font>
      <sz val="11"/>
      <color theme="0"/>
      <name val="Calibri"/>
      <family val="2"/>
      <scheme val="minor"/>
    </font>
    <font>
      <b/>
      <u/>
      <sz val="10"/>
      <color indexed="10"/>
      <name val="Verdana"/>
      <family val="2"/>
    </font>
    <font>
      <sz val="11"/>
      <color rgb="FF000000"/>
      <name val="Verdana"/>
      <family val="2"/>
    </font>
    <font>
      <sz val="8"/>
      <name val="Verdana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indexed="8"/>
      <name val="Source Code Pro"/>
      <family val="3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0"/>
      <name val="Verdana"/>
      <family val="2"/>
      <charset val="1"/>
    </font>
    <font>
      <b/>
      <sz val="10"/>
      <color rgb="FF000000"/>
      <name val="Verdana"/>
      <family val="2"/>
      <charset val="1"/>
    </font>
    <font>
      <sz val="10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CBE19F"/>
        <bgColor indexed="64"/>
      </patternFill>
    </fill>
    <fill>
      <patternFill patternType="solid">
        <fgColor rgb="FFEC645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BE19F"/>
        <bgColor rgb="FFC0C0C0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4"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3" fillId="0" borderId="0"/>
    <xf numFmtId="0" fontId="31" fillId="0" borderId="0"/>
  </cellStyleXfs>
  <cellXfs count="24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2" fillId="0" borderId="6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3" borderId="6" xfId="1" applyFont="1" applyFill="1" applyBorder="1" applyAlignment="1">
      <alignment horizontal="center" vertical="center" wrapText="1"/>
    </xf>
    <xf numFmtId="0" fontId="9" fillId="4" borderId="6" xfId="1" applyFont="1" applyFill="1" applyBorder="1" applyAlignment="1">
      <alignment wrapText="1"/>
    </xf>
    <xf numFmtId="0" fontId="11" fillId="0" borderId="0" xfId="0" applyFont="1" applyAlignment="1">
      <alignment horizontal="center" wrapText="1"/>
    </xf>
    <xf numFmtId="0" fontId="8" fillId="3" borderId="6" xfId="0" applyFont="1" applyFill="1" applyBorder="1" applyAlignment="1">
      <alignment horizontal="center" vertical="center" wrapText="1"/>
    </xf>
    <xf numFmtId="0" fontId="12" fillId="0" borderId="0" xfId="0" applyFont="1"/>
    <xf numFmtId="0" fontId="2" fillId="0" borderId="15" xfId="0" applyFont="1" applyBorder="1"/>
    <xf numFmtId="0" fontId="3" fillId="0" borderId="0" xfId="0" applyFont="1"/>
    <xf numFmtId="0" fontId="3" fillId="0" borderId="15" xfId="0" applyFont="1" applyBorder="1"/>
    <xf numFmtId="0" fontId="6" fillId="3" borderId="6" xfId="0" applyFont="1" applyFill="1" applyBorder="1" applyAlignment="1">
      <alignment horizontal="center"/>
    </xf>
    <xf numFmtId="0" fontId="8" fillId="3" borderId="6" xfId="0" applyFont="1" applyFill="1" applyBorder="1"/>
    <xf numFmtId="0" fontId="8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2" fillId="0" borderId="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12" fillId="0" borderId="6" xfId="0" applyFont="1" applyBorder="1" applyAlignment="1">
      <alignment horizontal="center" vertical="center"/>
    </xf>
    <xf numFmtId="0" fontId="12" fillId="0" borderId="0" xfId="0" applyFont="1" applyAlignment="1">
      <alignment wrapText="1"/>
    </xf>
    <xf numFmtId="0" fontId="17" fillId="0" borderId="6" xfId="0" applyFont="1" applyBorder="1" applyAlignment="1">
      <alignment horizontal="center" vertical="center" wrapText="1"/>
    </xf>
    <xf numFmtId="0" fontId="18" fillId="0" borderId="0" xfId="2" applyFont="1" applyAlignment="1">
      <alignment vertical="center"/>
    </xf>
    <xf numFmtId="0" fontId="6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2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0" fontId="25" fillId="0" borderId="0" xfId="0" applyFont="1"/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21" fontId="2" fillId="0" borderId="0" xfId="0" applyNumberFormat="1" applyFont="1" applyAlignment="1">
      <alignment vertical="center"/>
    </xf>
    <xf numFmtId="20" fontId="2" fillId="0" borderId="0" xfId="0" applyNumberFormat="1" applyFont="1" applyAlignment="1">
      <alignment vertical="center"/>
    </xf>
    <xf numFmtId="165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6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4" borderId="6" xfId="1" applyFont="1" applyFill="1" applyBorder="1" applyAlignment="1">
      <alignment horizontal="center" vertical="center" wrapText="1"/>
    </xf>
    <xf numFmtId="0" fontId="34" fillId="5" borderId="7" xfId="9" applyFont="1" applyFill="1" applyBorder="1" applyAlignment="1">
      <alignment horizontal="center" wrapText="1"/>
    </xf>
    <xf numFmtId="0" fontId="34" fillId="5" borderId="8" xfId="9" applyFont="1" applyFill="1" applyBorder="1" applyAlignment="1">
      <alignment horizontal="center" wrapText="1"/>
    </xf>
    <xf numFmtId="0" fontId="34" fillId="5" borderId="9" xfId="9" applyFont="1" applyFill="1" applyBorder="1" applyAlignment="1">
      <alignment horizontal="center" wrapText="1"/>
    </xf>
    <xf numFmtId="0" fontId="35" fillId="5" borderId="7" xfId="0" applyFont="1" applyFill="1" applyBorder="1" applyAlignment="1">
      <alignment horizontal="center"/>
    </xf>
    <xf numFmtId="0" fontId="35" fillId="5" borderId="8" xfId="0" applyFont="1" applyFill="1" applyBorder="1" applyAlignment="1">
      <alignment horizontal="center"/>
    </xf>
    <xf numFmtId="0" fontId="35" fillId="5" borderId="9" xfId="0" applyFont="1" applyFill="1" applyBorder="1" applyAlignment="1">
      <alignment horizontal="center"/>
    </xf>
    <xf numFmtId="0" fontId="24" fillId="2" borderId="6" xfId="0" applyFont="1" applyFill="1" applyBorder="1" applyAlignment="1">
      <alignment horizontal="center" wrapText="1"/>
    </xf>
    <xf numFmtId="0" fontId="25" fillId="2" borderId="6" xfId="0" applyFont="1" applyFill="1" applyBorder="1" applyAlignment="1">
      <alignment wrapText="1"/>
    </xf>
    <xf numFmtId="0" fontId="23" fillId="0" borderId="6" xfId="2" applyFont="1" applyBorder="1" applyAlignment="1">
      <alignment vertical="center" wrapText="1"/>
    </xf>
    <xf numFmtId="0" fontId="23" fillId="0" borderId="7" xfId="2" applyFont="1" applyBorder="1" applyAlignment="1">
      <alignment vertical="center" wrapText="1"/>
    </xf>
    <xf numFmtId="0" fontId="24" fillId="0" borderId="9" xfId="0" applyFont="1" applyBorder="1"/>
    <xf numFmtId="0" fontId="24" fillId="0" borderId="7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25" fillId="0" borderId="6" xfId="0" applyFont="1" applyBorder="1"/>
    <xf numFmtId="0" fontId="23" fillId="0" borderId="6" xfId="2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/>
    </xf>
    <xf numFmtId="0" fontId="24" fillId="0" borderId="6" xfId="0" applyFont="1" applyBorder="1" applyAlignment="1">
      <alignment horizontal="center" wrapText="1"/>
    </xf>
    <xf numFmtId="0" fontId="23" fillId="0" borderId="1" xfId="2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wrapText="1"/>
    </xf>
    <xf numFmtId="0" fontId="24" fillId="0" borderId="4" xfId="0" applyFont="1" applyBorder="1" applyAlignment="1">
      <alignment horizontal="center" wrapText="1"/>
    </xf>
    <xf numFmtId="0" fontId="24" fillId="0" borderId="13" xfId="0" applyFont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left" wrapText="1"/>
    </xf>
    <xf numFmtId="0" fontId="28" fillId="3" borderId="8" xfId="0" applyFont="1" applyFill="1" applyBorder="1" applyAlignment="1">
      <alignment horizontal="left" wrapText="1"/>
    </xf>
    <xf numFmtId="0" fontId="28" fillId="3" borderId="9" xfId="0" applyFont="1" applyFill="1" applyBorder="1" applyAlignment="1">
      <alignment horizontal="left" wrapText="1"/>
    </xf>
    <xf numFmtId="0" fontId="25" fillId="0" borderId="6" xfId="0" applyFont="1" applyBorder="1" applyAlignment="1">
      <alignment horizontal="center" wrapText="1"/>
    </xf>
    <xf numFmtId="0" fontId="26" fillId="0" borderId="6" xfId="0" applyFont="1" applyBorder="1" applyAlignment="1">
      <alignment horizontal="center" wrapText="1"/>
    </xf>
    <xf numFmtId="0" fontId="27" fillId="2" borderId="6" xfId="0" applyFont="1" applyFill="1" applyBorder="1" applyAlignment="1">
      <alignment horizontal="center" wrapText="1"/>
    </xf>
    <xf numFmtId="0" fontId="26" fillId="2" borderId="6" xfId="0" applyFont="1" applyFill="1" applyBorder="1" applyAlignment="1">
      <alignment horizontal="center" wrapText="1"/>
    </xf>
    <xf numFmtId="0" fontId="26" fillId="2" borderId="6" xfId="0" applyFont="1" applyFill="1" applyBorder="1" applyAlignment="1">
      <alignment wrapText="1"/>
    </xf>
    <xf numFmtId="0" fontId="26" fillId="0" borderId="6" xfId="0" applyFont="1" applyBorder="1" applyAlignment="1">
      <alignment wrapText="1"/>
    </xf>
    <xf numFmtId="0" fontId="24" fillId="2" borderId="7" xfId="0" applyFont="1" applyFill="1" applyBorder="1" applyAlignment="1">
      <alignment horizontal="center" wrapText="1"/>
    </xf>
    <xf numFmtId="0" fontId="24" fillId="2" borderId="8" xfId="0" applyFont="1" applyFill="1" applyBorder="1" applyAlignment="1">
      <alignment horizontal="center" wrapText="1"/>
    </xf>
    <xf numFmtId="0" fontId="24" fillId="2" borderId="9" xfId="0" applyFont="1" applyFill="1" applyBorder="1" applyAlignment="1">
      <alignment horizontal="center" wrapText="1"/>
    </xf>
    <xf numFmtId="0" fontId="36" fillId="0" borderId="7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8" fillId="3" borderId="6" xfId="0" applyFont="1" applyFill="1" applyBorder="1" applyAlignment="1">
      <alignment wrapText="1"/>
    </xf>
    <xf numFmtId="0" fontId="35" fillId="5" borderId="7" xfId="0" applyFont="1" applyFill="1" applyBorder="1" applyAlignment="1">
      <alignment horizontal="center" vertical="center" wrapText="1"/>
    </xf>
    <xf numFmtId="0" fontId="35" fillId="5" borderId="8" xfId="0" applyFont="1" applyFill="1" applyBorder="1" applyAlignment="1">
      <alignment horizontal="center" vertical="center" wrapText="1"/>
    </xf>
    <xf numFmtId="0" fontId="35" fillId="5" borderId="9" xfId="0" applyFont="1" applyFill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wrapText="1"/>
    </xf>
    <xf numFmtId="0" fontId="28" fillId="3" borderId="8" xfId="0" applyFont="1" applyFill="1" applyBorder="1" applyAlignment="1">
      <alignment horizontal="center" wrapText="1"/>
    </xf>
    <xf numFmtId="0" fontId="28" fillId="3" borderId="9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4" fillId="2" borderId="0" xfId="0" applyFont="1" applyFill="1" applyAlignment="1">
      <alignment horizontal="center" wrapText="1"/>
    </xf>
    <xf numFmtId="0" fontId="14" fillId="2" borderId="14" xfId="0" applyFont="1" applyFill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6" fillId="3" borderId="6" xfId="0" applyFont="1" applyFill="1" applyBorder="1" applyAlignment="1">
      <alignment horizontal="center" wrapText="1"/>
    </xf>
    <xf numFmtId="0" fontId="12" fillId="0" borderId="6" xfId="0" applyFont="1" applyBorder="1" applyAlignment="1">
      <alignment horizontal="center"/>
    </xf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15" fillId="3" borderId="8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2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2" fillId="0" borderId="1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4" xfId="0" applyFont="1" applyBorder="1" applyAlignment="1">
      <alignment wrapText="1"/>
    </xf>
    <xf numFmtId="0" fontId="1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3" fillId="3" borderId="7" xfId="0" applyFont="1" applyFill="1" applyBorder="1" applyAlignment="1">
      <alignment horizontal="center" wrapText="1"/>
    </xf>
    <xf numFmtId="0" fontId="13" fillId="3" borderId="8" xfId="0" applyFont="1" applyFill="1" applyBorder="1" applyAlignment="1">
      <alignment horizontal="center" wrapText="1"/>
    </xf>
    <xf numFmtId="0" fontId="13" fillId="3" borderId="9" xfId="0" applyFont="1" applyFill="1" applyBorder="1" applyAlignment="1">
      <alignment horizontal="center" wrapText="1"/>
    </xf>
    <xf numFmtId="0" fontId="0" fillId="0" borderId="11" xfId="0" applyBorder="1" applyAlignment="1">
      <alignment wrapText="1"/>
    </xf>
    <xf numFmtId="0" fontId="3" fillId="2" borderId="0" xfId="0" applyFont="1" applyFill="1" applyAlignment="1">
      <alignment horizontal="center" wrapText="1"/>
    </xf>
    <xf numFmtId="0" fontId="0" fillId="2" borderId="14" xfId="0" applyFill="1" applyBorder="1" applyAlignment="1">
      <alignment wrapText="1"/>
    </xf>
    <xf numFmtId="0" fontId="0" fillId="0" borderId="13" xfId="0" applyBorder="1" applyAlignment="1">
      <alignment wrapText="1"/>
    </xf>
    <xf numFmtId="0" fontId="13" fillId="3" borderId="7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9" fillId="4" borderId="7" xfId="1" applyFont="1" applyFill="1" applyBorder="1" applyAlignment="1">
      <alignment horizontal="center" vertical="center" wrapText="1"/>
    </xf>
    <xf numFmtId="0" fontId="9" fillId="4" borderId="9" xfId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4" fillId="0" borderId="5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3" fillId="2" borderId="6" xfId="0" applyFont="1" applyFill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6" fillId="3" borderId="7" xfId="1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center" wrapText="1"/>
    </xf>
    <xf numFmtId="0" fontId="6" fillId="3" borderId="10" xfId="1" applyFont="1" applyFill="1" applyBorder="1" applyAlignment="1">
      <alignment horizontal="center" wrapText="1"/>
    </xf>
    <xf numFmtId="0" fontId="6" fillId="3" borderId="12" xfId="1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" xfId="1" applyFont="1" applyFill="1" applyBorder="1" applyAlignment="1">
      <alignment horizontal="center" wrapText="1"/>
    </xf>
    <xf numFmtId="0" fontId="7" fillId="3" borderId="11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7" fillId="3" borderId="13" xfId="0" applyFont="1" applyFill="1" applyBorder="1" applyAlignment="1">
      <alignment horizontal="center" wrapText="1"/>
    </xf>
  </cellXfs>
  <cellStyles count="14">
    <cellStyle name="Normal" xfId="0" builtinId="0"/>
    <cellStyle name="Normal 11" xfId="1"/>
    <cellStyle name="Normal 11 2" xfId="7"/>
    <cellStyle name="Normal 2" xfId="2"/>
    <cellStyle name="Normal 2 2" xfId="8"/>
    <cellStyle name="Normal 3" xfId="3"/>
    <cellStyle name="Normal 3 2" xfId="9"/>
    <cellStyle name="Normal 4" xfId="4"/>
    <cellStyle name="Normal 4 2" xfId="10"/>
    <cellStyle name="Normal 5" xfId="5"/>
    <cellStyle name="Normal 5 2" xfId="12"/>
    <cellStyle name="Normal 5 3" xfId="11"/>
    <cellStyle name="Normal 6" xfId="13"/>
    <cellStyle name="Normal 7" xfId="6"/>
  </cellStyles>
  <dxfs count="0"/>
  <tableStyles count="0" defaultTableStyle="TableStyleMedium9" defaultPivotStyle="PivotStyleLight16"/>
  <colors>
    <mruColors>
      <color rgb="FFEC6458"/>
      <color rgb="FFCBE19F"/>
      <color rgb="FF30D3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1</xdr:rowOff>
    </xdr:from>
    <xdr:to>
      <xdr:col>1</xdr:col>
      <xdr:colOff>117354</xdr:colOff>
      <xdr:row>3</xdr:row>
      <xdr:rowOff>152400</xdr:rowOff>
    </xdr:to>
    <xdr:pic>
      <xdr:nvPicPr>
        <xdr:cNvPr id="5" name="4 Imagen" descr="Movilnet.jpg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80975"/>
          <a:ext cx="1717040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298328</xdr:colOff>
      <xdr:row>2</xdr:row>
      <xdr:rowOff>161924</xdr:rowOff>
    </xdr:to>
    <xdr:pic>
      <xdr:nvPicPr>
        <xdr:cNvPr id="3" name="2 Imagen" descr="Movilnet.jpg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7040" cy="5232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298328</xdr:colOff>
      <xdr:row>2</xdr:row>
      <xdr:rowOff>161924</xdr:rowOff>
    </xdr:to>
    <xdr:pic>
      <xdr:nvPicPr>
        <xdr:cNvPr id="4" name="3 Imagen" descr="Movilnet.jp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7040" cy="5232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104775</xdr:rowOff>
    </xdr:from>
    <xdr:to>
      <xdr:col>2</xdr:col>
      <xdr:colOff>136403</xdr:colOff>
      <xdr:row>4</xdr:row>
      <xdr:rowOff>3174</xdr:rowOff>
    </xdr:to>
    <xdr:pic>
      <xdr:nvPicPr>
        <xdr:cNvPr id="3" name="2 Imagen" descr="Movilnet.jpg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4775"/>
          <a:ext cx="1717040" cy="5422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161925</xdr:rowOff>
    </xdr:from>
    <xdr:to>
      <xdr:col>2</xdr:col>
      <xdr:colOff>603128</xdr:colOff>
      <xdr:row>3</xdr:row>
      <xdr:rowOff>142874</xdr:rowOff>
    </xdr:to>
    <xdr:pic>
      <xdr:nvPicPr>
        <xdr:cNvPr id="3" name="2 Imagen" descr="Movilnet.jpg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61925"/>
          <a:ext cx="1717040" cy="523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2</xdr:col>
      <xdr:colOff>603128</xdr:colOff>
      <xdr:row>3</xdr:row>
      <xdr:rowOff>171449</xdr:rowOff>
    </xdr:to>
    <xdr:pic>
      <xdr:nvPicPr>
        <xdr:cNvPr id="3" name="2 Imagen" descr="Movilnet.jpg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0"/>
          <a:ext cx="1717040" cy="5232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317378</xdr:colOff>
      <xdr:row>3</xdr:row>
      <xdr:rowOff>161924</xdr:rowOff>
    </xdr:to>
    <xdr:pic>
      <xdr:nvPicPr>
        <xdr:cNvPr id="3" name="2 Imagen" descr="Movilnet.jpg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80975"/>
          <a:ext cx="1717040" cy="523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3"/>
  <sheetViews>
    <sheetView topLeftCell="A7" zoomScale="115" zoomScaleNormal="115" workbookViewId="0">
      <selection activeCell="A20" sqref="A20:F20"/>
    </sheetView>
  </sheetViews>
  <sheetFormatPr baseColWidth="10" defaultRowHeight="14.25"/>
  <cols>
    <col min="1" max="1" width="24" style="1" customWidth="1"/>
    <col min="2" max="2" width="16" style="1" customWidth="1"/>
    <col min="3" max="3" width="29.28515625" style="1" customWidth="1"/>
    <col min="4" max="4" width="21" style="1" customWidth="1"/>
    <col min="5" max="5" width="19.28515625" style="1" customWidth="1"/>
    <col min="6" max="6" width="21.28515625" style="1" customWidth="1"/>
    <col min="7" max="16384" width="11.42578125" style="1"/>
  </cols>
  <sheetData>
    <row r="1" spans="1:8">
      <c r="A1" s="41"/>
      <c r="B1" s="41"/>
      <c r="C1" s="41"/>
      <c r="D1" s="41"/>
      <c r="E1" s="41"/>
      <c r="F1" s="41"/>
    </row>
    <row r="2" spans="1:8" ht="15" customHeight="1">
      <c r="A2" s="76"/>
      <c r="B2" s="93"/>
      <c r="C2" s="93"/>
      <c r="D2" s="93"/>
      <c r="E2" s="93"/>
      <c r="F2" s="94"/>
    </row>
    <row r="3" spans="1:8" ht="15.75" customHeight="1">
      <c r="A3" s="76"/>
      <c r="B3" s="95" t="s">
        <v>0</v>
      </c>
      <c r="C3" s="95"/>
      <c r="D3" s="95"/>
      <c r="E3" s="96"/>
      <c r="F3" s="97"/>
    </row>
    <row r="4" spans="1:8" ht="15" customHeight="1">
      <c r="A4" s="76"/>
      <c r="B4" s="93"/>
      <c r="C4" s="93"/>
      <c r="D4" s="93"/>
      <c r="E4" s="93"/>
      <c r="F4" s="98"/>
    </row>
    <row r="5" spans="1:8" ht="14.25" customHeight="1">
      <c r="A5" s="99" t="s">
        <v>1</v>
      </c>
      <c r="B5" s="100"/>
      <c r="C5" s="100"/>
      <c r="D5" s="100"/>
      <c r="E5" s="100"/>
      <c r="F5" s="101"/>
    </row>
    <row r="6" spans="1:8">
      <c r="A6" s="71" t="s">
        <v>2</v>
      </c>
      <c r="B6" s="71"/>
      <c r="C6" s="72" t="s">
        <v>3</v>
      </c>
      <c r="D6" s="73"/>
      <c r="E6" s="74" t="s">
        <v>4</v>
      </c>
      <c r="F6" s="75"/>
      <c r="G6" s="35"/>
      <c r="H6" s="35"/>
    </row>
    <row r="7" spans="1:8" ht="14.25" customHeight="1">
      <c r="A7" s="77" t="s">
        <v>65</v>
      </c>
      <c r="B7" s="77"/>
      <c r="C7" s="77" t="s">
        <v>68</v>
      </c>
      <c r="D7" s="77"/>
      <c r="E7" s="80" t="s">
        <v>69</v>
      </c>
      <c r="F7" s="81"/>
    </row>
    <row r="8" spans="1:8" ht="12" customHeight="1">
      <c r="A8" s="78"/>
      <c r="B8" s="78"/>
      <c r="C8" s="79"/>
      <c r="D8" s="79"/>
      <c r="E8" s="82"/>
      <c r="F8" s="83"/>
    </row>
    <row r="9" spans="1:8">
      <c r="A9" s="69" t="s">
        <v>5</v>
      </c>
      <c r="B9" s="70"/>
      <c r="C9" s="70"/>
      <c r="D9" s="70"/>
      <c r="E9" s="70"/>
      <c r="F9" s="70"/>
    </row>
    <row r="10" spans="1:8" ht="15.75" customHeight="1">
      <c r="A10" s="71" t="s">
        <v>2</v>
      </c>
      <c r="B10" s="71"/>
      <c r="C10" s="72" t="s">
        <v>3</v>
      </c>
      <c r="D10" s="73"/>
      <c r="E10" s="74" t="s">
        <v>4</v>
      </c>
      <c r="F10" s="75"/>
    </row>
    <row r="11" spans="1:8">
      <c r="A11" s="77" t="s">
        <v>65</v>
      </c>
      <c r="B11" s="77"/>
      <c r="C11" s="77" t="s">
        <v>66</v>
      </c>
      <c r="D11" s="77"/>
      <c r="E11" s="80" t="s">
        <v>64</v>
      </c>
      <c r="F11" s="81"/>
    </row>
    <row r="12" spans="1:8">
      <c r="A12" s="78"/>
      <c r="B12" s="78"/>
      <c r="C12" s="79"/>
      <c r="D12" s="79"/>
      <c r="E12" s="82"/>
      <c r="F12" s="83"/>
    </row>
    <row r="13" spans="1:8">
      <c r="A13" s="41"/>
      <c r="B13" s="41"/>
      <c r="C13" s="41"/>
      <c r="D13" s="41"/>
      <c r="E13" s="41"/>
      <c r="F13" s="41"/>
    </row>
    <row r="14" spans="1:8" ht="12.75" customHeight="1">
      <c r="A14" s="69" t="s">
        <v>6</v>
      </c>
      <c r="B14" s="70"/>
      <c r="C14" s="70"/>
      <c r="D14" s="70"/>
      <c r="E14" s="70"/>
      <c r="F14" s="70"/>
    </row>
    <row r="15" spans="1:8" ht="14.25" hidden="1" customHeight="1">
      <c r="A15" s="41"/>
      <c r="B15" s="41"/>
      <c r="C15" s="41"/>
      <c r="D15" s="41"/>
      <c r="E15" s="41"/>
      <c r="F15" s="41"/>
    </row>
    <row r="16" spans="1:8">
      <c r="A16" s="90" t="s">
        <v>7</v>
      </c>
      <c r="B16" s="91"/>
      <c r="C16" s="91"/>
      <c r="D16" s="91"/>
      <c r="E16" s="91"/>
      <c r="F16" s="92"/>
    </row>
    <row r="17" spans="1:6" ht="23.25" customHeight="1">
      <c r="A17" s="84" t="s">
        <v>112</v>
      </c>
      <c r="B17" s="85"/>
      <c r="C17" s="85"/>
      <c r="D17" s="85"/>
      <c r="E17" s="85"/>
      <c r="F17" s="86"/>
    </row>
    <row r="18" spans="1:6" ht="14.25" hidden="1" customHeight="1">
      <c r="A18" s="87"/>
      <c r="B18" s="88"/>
      <c r="C18" s="88"/>
      <c r="D18" s="88"/>
      <c r="E18" s="88"/>
      <c r="F18" s="89"/>
    </row>
    <row r="19" spans="1:6" ht="15" customHeight="1">
      <c r="A19" s="90" t="s">
        <v>8</v>
      </c>
      <c r="B19" s="91"/>
      <c r="C19" s="91"/>
      <c r="D19" s="91"/>
      <c r="E19" s="91"/>
      <c r="F19" s="92"/>
    </row>
    <row r="20" spans="1:6" ht="41.25" customHeight="1">
      <c r="A20" s="121" t="s">
        <v>105</v>
      </c>
      <c r="B20" s="122"/>
      <c r="C20" s="122"/>
      <c r="D20" s="122"/>
      <c r="E20" s="122"/>
      <c r="F20" s="123"/>
    </row>
    <row r="21" spans="1:6" ht="15.75" customHeight="1">
      <c r="A21" s="124" t="s">
        <v>9</v>
      </c>
      <c r="B21" s="125"/>
      <c r="C21" s="125"/>
      <c r="D21" s="125"/>
      <c r="E21" s="125"/>
      <c r="F21" s="126"/>
    </row>
    <row r="22" spans="1:6" ht="14.25" customHeight="1">
      <c r="A22" s="63" t="s">
        <v>10</v>
      </c>
      <c r="B22" s="64"/>
      <c r="C22" s="65"/>
      <c r="D22" s="66" t="s">
        <v>11</v>
      </c>
      <c r="E22" s="67"/>
      <c r="F22" s="68"/>
    </row>
    <row r="23" spans="1:6" ht="16.5" customHeight="1">
      <c r="A23" s="102" t="s">
        <v>108</v>
      </c>
      <c r="B23" s="103"/>
      <c r="C23" s="104"/>
      <c r="D23" s="102" t="s">
        <v>109</v>
      </c>
      <c r="E23" s="103"/>
      <c r="F23" s="104"/>
    </row>
    <row r="24" spans="1:6" ht="15.75" customHeight="1">
      <c r="A24" s="115" t="s">
        <v>12</v>
      </c>
      <c r="B24" s="116"/>
      <c r="C24" s="117"/>
      <c r="D24" s="115" t="s">
        <v>11</v>
      </c>
      <c r="E24" s="116"/>
      <c r="F24" s="117"/>
    </row>
    <row r="25" spans="1:6" ht="16.5" customHeight="1">
      <c r="A25" s="118" t="s">
        <v>110</v>
      </c>
      <c r="B25" s="119"/>
      <c r="C25" s="120"/>
      <c r="D25" s="102" t="s">
        <v>111</v>
      </c>
      <c r="E25" s="103"/>
      <c r="F25" s="104"/>
    </row>
    <row r="26" spans="1:6" ht="12.75" customHeight="1">
      <c r="A26" s="114" t="s">
        <v>13</v>
      </c>
      <c r="B26" s="114"/>
      <c r="C26" s="114"/>
      <c r="D26" s="114"/>
      <c r="E26" s="114"/>
      <c r="F26" s="114"/>
    </row>
    <row r="27" spans="1:6" ht="14.25" hidden="1" customHeight="1">
      <c r="A27" s="84" t="s">
        <v>99</v>
      </c>
      <c r="B27" s="85"/>
      <c r="C27" s="85"/>
      <c r="D27" s="85"/>
      <c r="E27" s="85"/>
      <c r="F27" s="86"/>
    </row>
    <row r="28" spans="1:6" ht="21.75" customHeight="1">
      <c r="A28" s="87"/>
      <c r="B28" s="88"/>
      <c r="C28" s="88"/>
      <c r="D28" s="88"/>
      <c r="E28" s="88"/>
      <c r="F28" s="89"/>
    </row>
    <row r="29" spans="1:6" ht="14.25" customHeight="1">
      <c r="A29" s="114" t="s">
        <v>14</v>
      </c>
      <c r="B29" s="114"/>
      <c r="C29" s="114"/>
      <c r="D29" s="114"/>
      <c r="E29" s="114"/>
      <c r="F29" s="114"/>
    </row>
    <row r="30" spans="1:6" ht="10.5" customHeight="1">
      <c r="A30" s="105" t="s">
        <v>70</v>
      </c>
      <c r="B30" s="106"/>
      <c r="C30" s="106"/>
      <c r="D30" s="106"/>
      <c r="E30" s="106"/>
      <c r="F30" s="107"/>
    </row>
    <row r="31" spans="1:6" ht="6.75" customHeight="1">
      <c r="A31" s="108"/>
      <c r="B31" s="109"/>
      <c r="C31" s="109"/>
      <c r="D31" s="109"/>
      <c r="E31" s="109"/>
      <c r="F31" s="110"/>
    </row>
    <row r="32" spans="1:6" ht="6" customHeight="1">
      <c r="A32" s="108"/>
      <c r="B32" s="109"/>
      <c r="C32" s="109"/>
      <c r="D32" s="109"/>
      <c r="E32" s="109"/>
      <c r="F32" s="110"/>
    </row>
    <row r="33" spans="1:6" ht="9.75" customHeight="1">
      <c r="A33" s="111"/>
      <c r="B33" s="112"/>
      <c r="C33" s="112"/>
      <c r="D33" s="112"/>
      <c r="E33" s="112"/>
      <c r="F33" s="113"/>
    </row>
  </sheetData>
  <mergeCells count="36">
    <mergeCell ref="A23:C23"/>
    <mergeCell ref="D23:F23"/>
    <mergeCell ref="A30:F33"/>
    <mergeCell ref="A11:B12"/>
    <mergeCell ref="C11:D12"/>
    <mergeCell ref="E11:F12"/>
    <mergeCell ref="A27:F28"/>
    <mergeCell ref="A26:F26"/>
    <mergeCell ref="A29:F29"/>
    <mergeCell ref="A24:C24"/>
    <mergeCell ref="D24:F24"/>
    <mergeCell ref="A25:C25"/>
    <mergeCell ref="D25:F25"/>
    <mergeCell ref="A19:F19"/>
    <mergeCell ref="A20:F20"/>
    <mergeCell ref="A21:F21"/>
    <mergeCell ref="A2:A4"/>
    <mergeCell ref="A7:B8"/>
    <mergeCell ref="C7:D8"/>
    <mergeCell ref="E7:F8"/>
    <mergeCell ref="A17:F18"/>
    <mergeCell ref="A16:F16"/>
    <mergeCell ref="B2:F2"/>
    <mergeCell ref="B3:F3"/>
    <mergeCell ref="B4:F4"/>
    <mergeCell ref="A5:F5"/>
    <mergeCell ref="A6:B6"/>
    <mergeCell ref="C6:D6"/>
    <mergeCell ref="E6:F6"/>
    <mergeCell ref="A22:C22"/>
    <mergeCell ref="D22:F22"/>
    <mergeCell ref="A9:F9"/>
    <mergeCell ref="A10:B10"/>
    <mergeCell ref="C10:D10"/>
    <mergeCell ref="E10:F10"/>
    <mergeCell ref="A14:F14"/>
  </mergeCells>
  <pageMargins left="0.39370078740157499" right="0.39370078740157499" top="0.39370078740157499" bottom="0.39370078740157499" header="0.39370078740157499" footer="0.39370078740157499"/>
  <pageSetup orientation="landscape" horizontalDpi="300" verticalDpi="300" r:id="rId1"/>
  <headerFooter scaleWithDoc="0"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2"/>
  <sheetViews>
    <sheetView topLeftCell="A19" zoomScale="85" zoomScaleNormal="85" workbookViewId="0">
      <selection activeCell="H22" sqref="H22"/>
    </sheetView>
  </sheetViews>
  <sheetFormatPr baseColWidth="10" defaultColWidth="11" defaultRowHeight="14.25"/>
  <cols>
    <col min="1" max="1" width="4" style="2" customWidth="1"/>
    <col min="2" max="2" width="17.28515625" style="2" customWidth="1"/>
    <col min="3" max="3" width="25.5703125" style="2" customWidth="1"/>
    <col min="4" max="5" width="28.7109375" style="2" customWidth="1"/>
    <col min="6" max="6" width="7.7109375" style="2" customWidth="1"/>
    <col min="7" max="7" width="8.140625" style="2" customWidth="1"/>
    <col min="8" max="8" width="34.5703125" style="2" customWidth="1"/>
    <col min="9" max="9" width="30.7109375" style="2" customWidth="1"/>
    <col min="10" max="10" width="11.28515625" style="2" hidden="1" customWidth="1"/>
    <col min="11" max="12" width="11" style="2"/>
    <col min="13" max="13" width="29.5703125" style="2" customWidth="1"/>
    <col min="14" max="14" width="10.42578125" style="2" hidden="1" customWidth="1"/>
    <col min="15" max="16384" width="11" style="2"/>
  </cols>
  <sheetData>
    <row r="1" spans="1:14" ht="15">
      <c r="A1" s="127"/>
      <c r="B1" s="128"/>
      <c r="C1" s="133"/>
      <c r="D1" s="133"/>
      <c r="E1" s="133"/>
      <c r="F1" s="133"/>
      <c r="G1" s="133"/>
      <c r="H1" s="133"/>
      <c r="I1" s="134"/>
    </row>
    <row r="2" spans="1:14" ht="15">
      <c r="A2" s="129"/>
      <c r="B2" s="130"/>
      <c r="C2" s="135" t="s">
        <v>15</v>
      </c>
      <c r="D2" s="136"/>
      <c r="E2" s="136"/>
      <c r="F2" s="136"/>
      <c r="G2" s="136"/>
      <c r="H2" s="136"/>
      <c r="I2" s="137"/>
    </row>
    <row r="3" spans="1:14" ht="15">
      <c r="A3" s="131"/>
      <c r="B3" s="132"/>
      <c r="C3" s="138"/>
      <c r="D3" s="138"/>
      <c r="E3" s="138"/>
      <c r="F3" s="138"/>
      <c r="G3" s="138"/>
      <c r="H3" s="138"/>
      <c r="I3" s="139"/>
    </row>
    <row r="5" spans="1:14" ht="42" customHeight="1">
      <c r="A5" s="141" t="s">
        <v>16</v>
      </c>
      <c r="B5" s="141" t="s">
        <v>17</v>
      </c>
      <c r="C5" s="141"/>
      <c r="D5" s="141" t="s">
        <v>18</v>
      </c>
      <c r="E5" s="141" t="s">
        <v>19</v>
      </c>
      <c r="F5" s="140" t="s">
        <v>20</v>
      </c>
      <c r="G5" s="140"/>
      <c r="H5" s="141" t="s">
        <v>21</v>
      </c>
      <c r="I5" s="141" t="s">
        <v>22</v>
      </c>
    </row>
    <row r="6" spans="1:14" ht="13.5" customHeight="1">
      <c r="A6" s="141"/>
      <c r="B6" s="141"/>
      <c r="C6" s="141"/>
      <c r="D6" s="141"/>
      <c r="E6" s="141"/>
      <c r="F6" s="36" t="s">
        <v>23</v>
      </c>
      <c r="G6" s="36" t="s">
        <v>24</v>
      </c>
      <c r="H6" s="141"/>
      <c r="I6" s="141"/>
    </row>
    <row r="7" spans="1:14" ht="36" customHeight="1">
      <c r="A7" s="145" t="s">
        <v>62</v>
      </c>
      <c r="B7" s="146"/>
      <c r="C7" s="146"/>
      <c r="D7" s="146"/>
      <c r="E7" s="146"/>
      <c r="F7" s="146"/>
      <c r="G7" s="146"/>
      <c r="H7" s="146"/>
      <c r="I7" s="147"/>
    </row>
    <row r="8" spans="1:14" ht="55.5" customHeight="1">
      <c r="A8" s="39">
        <v>1</v>
      </c>
      <c r="B8" s="142" t="s">
        <v>92</v>
      </c>
      <c r="C8" s="143"/>
      <c r="D8" s="24">
        <v>46135.541666666664</v>
      </c>
      <c r="E8" s="24">
        <f>D8+N8</f>
        <v>46135.545138888883</v>
      </c>
      <c r="F8" s="42"/>
      <c r="G8" s="54" t="s">
        <v>25</v>
      </c>
      <c r="H8" s="34" t="s">
        <v>71</v>
      </c>
      <c r="I8" s="43"/>
      <c r="N8" s="50">
        <v>3.472222222222222E-3</v>
      </c>
    </row>
    <row r="9" spans="1:14" ht="55.5" customHeight="1">
      <c r="A9" s="39">
        <v>2</v>
      </c>
      <c r="B9" s="142" t="s">
        <v>87</v>
      </c>
      <c r="C9" s="143"/>
      <c r="D9" s="24">
        <f t="shared" ref="D9" si="0">E8</f>
        <v>46135.545138888883</v>
      </c>
      <c r="E9" s="24">
        <f>D9+N9</f>
        <v>46135.548611111102</v>
      </c>
      <c r="F9" s="42"/>
      <c r="G9" s="54" t="s">
        <v>25</v>
      </c>
      <c r="H9" s="34" t="s">
        <v>71</v>
      </c>
      <c r="I9" s="43"/>
      <c r="N9" s="50">
        <v>3.472222222222222E-3</v>
      </c>
    </row>
    <row r="10" spans="1:14">
      <c r="A10" s="145" t="s">
        <v>63</v>
      </c>
      <c r="B10" s="146"/>
      <c r="C10" s="146"/>
      <c r="D10" s="146"/>
      <c r="E10" s="146"/>
      <c r="F10" s="146"/>
      <c r="G10" s="146"/>
      <c r="H10" s="146"/>
      <c r="I10" s="147"/>
      <c r="N10" s="50">
        <v>3.472222222222222E-3</v>
      </c>
    </row>
    <row r="11" spans="1:14" ht="69.75" customHeight="1">
      <c r="A11" s="39">
        <v>1</v>
      </c>
      <c r="B11" s="144" t="s">
        <v>90</v>
      </c>
      <c r="C11" s="144"/>
      <c r="D11" s="24">
        <v>46135.847222222219</v>
      </c>
      <c r="E11" s="24">
        <f t="shared" ref="E11" si="1">D11+N10</f>
        <v>46135.850694444438</v>
      </c>
      <c r="F11" s="39"/>
      <c r="G11" s="54" t="s">
        <v>25</v>
      </c>
      <c r="H11" s="34" t="s">
        <v>113</v>
      </c>
      <c r="I11" s="40"/>
      <c r="N11" s="50">
        <v>1.0416666666666666E-2</v>
      </c>
    </row>
    <row r="12" spans="1:14" ht="69.75" customHeight="1">
      <c r="A12" s="39">
        <v>2</v>
      </c>
      <c r="B12" s="144" t="s">
        <v>86</v>
      </c>
      <c r="C12" s="144"/>
      <c r="D12" s="24">
        <f>E11</f>
        <v>46135.850694444438</v>
      </c>
      <c r="E12" s="24">
        <f>D12+N10</f>
        <v>46135.854166666657</v>
      </c>
      <c r="F12" s="39"/>
      <c r="G12" s="54" t="s">
        <v>25</v>
      </c>
      <c r="H12" s="34" t="s">
        <v>113</v>
      </c>
      <c r="I12" s="40"/>
      <c r="N12" s="50"/>
    </row>
    <row r="13" spans="1:14" ht="121.5" customHeight="1">
      <c r="A13" s="39">
        <v>3</v>
      </c>
      <c r="B13" s="142" t="s">
        <v>102</v>
      </c>
      <c r="C13" s="143"/>
      <c r="D13" s="24">
        <f>E12</f>
        <v>46135.854166666657</v>
      </c>
      <c r="E13" s="24">
        <f>D13+N11</f>
        <v>46135.864583333321</v>
      </c>
      <c r="F13" s="54"/>
      <c r="G13" s="54" t="s">
        <v>25</v>
      </c>
      <c r="H13" s="55" t="s">
        <v>95</v>
      </c>
      <c r="I13" s="37"/>
      <c r="N13" s="50">
        <v>3.472222222222222E-3</v>
      </c>
    </row>
    <row r="14" spans="1:14" ht="121.5" customHeight="1">
      <c r="A14" s="39">
        <v>4</v>
      </c>
      <c r="B14" s="142" t="s">
        <v>103</v>
      </c>
      <c r="C14" s="143"/>
      <c r="D14" s="24">
        <f>E13</f>
        <v>46135.864583333321</v>
      </c>
      <c r="E14" s="24">
        <f>D14+N14</f>
        <v>46135.871527777766</v>
      </c>
      <c r="F14" s="58"/>
      <c r="G14" s="58" t="s">
        <v>104</v>
      </c>
      <c r="H14" s="57" t="s">
        <v>95</v>
      </c>
      <c r="I14" s="37"/>
      <c r="N14" s="50">
        <v>6.9444444444444441E-3</v>
      </c>
    </row>
    <row r="15" spans="1:14" ht="77.25" customHeight="1">
      <c r="A15" s="39">
        <v>5</v>
      </c>
      <c r="B15" s="144" t="s">
        <v>89</v>
      </c>
      <c r="C15" s="144"/>
      <c r="D15" s="24">
        <f>E14</f>
        <v>46135.871527777766</v>
      </c>
      <c r="E15" s="24">
        <f>D15+N13</f>
        <v>46135.874999999985</v>
      </c>
      <c r="F15" s="54"/>
      <c r="G15" s="54" t="s">
        <v>25</v>
      </c>
      <c r="H15" s="53" t="s">
        <v>95</v>
      </c>
      <c r="I15" s="37"/>
      <c r="N15" s="50">
        <v>9.7222222222222224E-2</v>
      </c>
    </row>
    <row r="16" spans="1:14" ht="55.5" customHeight="1">
      <c r="A16" s="39">
        <v>6</v>
      </c>
      <c r="B16" s="142" t="s">
        <v>106</v>
      </c>
      <c r="C16" s="143"/>
      <c r="D16" s="24">
        <f t="shared" ref="D16" si="2">E15</f>
        <v>46135.874999999985</v>
      </c>
      <c r="E16" s="24">
        <f>D16+N9</f>
        <v>46135.878472222204</v>
      </c>
      <c r="F16" s="42" t="s">
        <v>25</v>
      </c>
      <c r="G16" s="54"/>
      <c r="H16" s="34" t="s">
        <v>71</v>
      </c>
      <c r="I16" s="43"/>
      <c r="N16" s="50"/>
    </row>
    <row r="17" spans="1:14" ht="54.75" customHeight="1">
      <c r="A17" s="39">
        <v>7</v>
      </c>
      <c r="B17" s="142" t="s">
        <v>91</v>
      </c>
      <c r="C17" s="143"/>
      <c r="D17" s="24">
        <f t="shared" ref="D17:D20" si="3">E16</f>
        <v>46135.878472222204</v>
      </c>
      <c r="E17" s="24">
        <f t="shared" ref="E17" si="4">D17+N17</f>
        <v>46135.881944444423</v>
      </c>
      <c r="F17" s="42" t="s">
        <v>25</v>
      </c>
      <c r="G17" s="54"/>
      <c r="H17" s="34" t="s">
        <v>71</v>
      </c>
      <c r="I17" s="43"/>
      <c r="N17" s="50">
        <v>3.472222222222222E-3</v>
      </c>
    </row>
    <row r="18" spans="1:14" ht="69.75" customHeight="1">
      <c r="A18" s="39">
        <v>8</v>
      </c>
      <c r="B18" s="142" t="s">
        <v>107</v>
      </c>
      <c r="C18" s="143"/>
      <c r="D18" s="24">
        <f t="shared" si="3"/>
        <v>46135.881944444423</v>
      </c>
      <c r="E18" s="24">
        <f>D18+N17</f>
        <v>46135.885416666642</v>
      </c>
      <c r="F18" s="42" t="s">
        <v>25</v>
      </c>
      <c r="G18" s="54"/>
      <c r="H18" s="34" t="s">
        <v>71</v>
      </c>
      <c r="I18" s="43"/>
      <c r="N18" s="50">
        <v>3.472222222222222E-3</v>
      </c>
    </row>
    <row r="19" spans="1:14" ht="91.5" customHeight="1">
      <c r="A19" s="39">
        <v>9</v>
      </c>
      <c r="B19" s="142" t="s">
        <v>88</v>
      </c>
      <c r="C19" s="143"/>
      <c r="D19" s="24">
        <f t="shared" si="3"/>
        <v>46135.885416666642</v>
      </c>
      <c r="E19" s="24">
        <f>D19+N17</f>
        <v>46135.888888888861</v>
      </c>
      <c r="F19" s="42"/>
      <c r="G19" s="54" t="s">
        <v>25</v>
      </c>
      <c r="H19" s="34" t="s">
        <v>71</v>
      </c>
      <c r="I19" s="43"/>
      <c r="N19" s="50">
        <v>3.472222222222222E-3</v>
      </c>
    </row>
    <row r="20" spans="1:14" ht="99" customHeight="1">
      <c r="A20" s="39">
        <v>10</v>
      </c>
      <c r="B20" s="142" t="s">
        <v>67</v>
      </c>
      <c r="C20" s="143"/>
      <c r="D20" s="24">
        <f t="shared" si="3"/>
        <v>46135.888888888861</v>
      </c>
      <c r="E20" s="24">
        <f>D20+N15</f>
        <v>46135.98611111108</v>
      </c>
      <c r="F20" s="54"/>
      <c r="G20" s="54" t="s">
        <v>25</v>
      </c>
      <c r="H20" s="34" t="s">
        <v>113</v>
      </c>
      <c r="I20" s="38"/>
      <c r="N20" s="50">
        <v>1.3888888888888888E-2</v>
      </c>
    </row>
    <row r="21" spans="1:14" ht="85.5" customHeight="1">
      <c r="A21" s="39">
        <v>11</v>
      </c>
      <c r="B21" s="142" t="s">
        <v>103</v>
      </c>
      <c r="C21" s="143"/>
      <c r="D21" s="24">
        <f>E20</f>
        <v>46135.98611111108</v>
      </c>
      <c r="E21" s="24">
        <f>D21+N22</f>
        <v>46135.993055555526</v>
      </c>
      <c r="F21" s="37"/>
      <c r="G21" s="54" t="s">
        <v>25</v>
      </c>
      <c r="H21" s="55" t="s">
        <v>95</v>
      </c>
      <c r="I21" s="38"/>
      <c r="N21" s="50">
        <v>9.375E-2</v>
      </c>
    </row>
    <row r="22" spans="1:14" ht="69.75" customHeight="1">
      <c r="A22" s="39">
        <v>12</v>
      </c>
      <c r="B22" s="142" t="s">
        <v>26</v>
      </c>
      <c r="C22" s="143"/>
      <c r="D22" s="24">
        <f>E21</f>
        <v>46135.993055555526</v>
      </c>
      <c r="E22" s="24">
        <f>D22+N22</f>
        <v>46135.999999999971</v>
      </c>
      <c r="F22" s="54"/>
      <c r="G22" s="54" t="s">
        <v>25</v>
      </c>
      <c r="H22" s="34" t="s">
        <v>113</v>
      </c>
      <c r="I22" s="37"/>
      <c r="N22" s="50">
        <v>6.9444444444444441E-3</v>
      </c>
    </row>
  </sheetData>
  <mergeCells count="27">
    <mergeCell ref="B22:C22"/>
    <mergeCell ref="B12:C12"/>
    <mergeCell ref="A7:I7"/>
    <mergeCell ref="A10:I10"/>
    <mergeCell ref="B11:C11"/>
    <mergeCell ref="B20:C20"/>
    <mergeCell ref="B21:C21"/>
    <mergeCell ref="B13:C13"/>
    <mergeCell ref="B15:C15"/>
    <mergeCell ref="B8:C8"/>
    <mergeCell ref="B9:C9"/>
    <mergeCell ref="B16:C16"/>
    <mergeCell ref="B17:C17"/>
    <mergeCell ref="B19:C19"/>
    <mergeCell ref="B18:C18"/>
    <mergeCell ref="B14:C14"/>
    <mergeCell ref="A1:B3"/>
    <mergeCell ref="C1:I1"/>
    <mergeCell ref="C2:I2"/>
    <mergeCell ref="C3:I3"/>
    <mergeCell ref="F5:G5"/>
    <mergeCell ref="D5:D6"/>
    <mergeCell ref="E5:E6"/>
    <mergeCell ref="H5:H6"/>
    <mergeCell ref="I5:I6"/>
    <mergeCell ref="A5:A6"/>
    <mergeCell ref="B5:C6"/>
  </mergeCells>
  <pageMargins left="0.39370078740157499" right="0.39370078740157499" top="0.39370078740157499" bottom="0.39370078740157499" header="0.39370078740157499" footer="0.39370078740157499"/>
  <pageSetup orientation="landscape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30"/>
  <sheetViews>
    <sheetView topLeftCell="A3" zoomScale="90" zoomScaleNormal="90" workbookViewId="0">
      <selection activeCell="A17" sqref="A17:B17"/>
    </sheetView>
  </sheetViews>
  <sheetFormatPr baseColWidth="10" defaultColWidth="11" defaultRowHeight="12.75"/>
  <cols>
    <col min="1" max="1" width="11" style="15"/>
    <col min="2" max="2" width="12.7109375" style="15" customWidth="1"/>
    <col min="3" max="3" width="12.140625" style="15" customWidth="1"/>
    <col min="4" max="4" width="9.7109375" style="15" customWidth="1"/>
    <col min="5" max="5" width="27.85546875" style="15" customWidth="1"/>
    <col min="6" max="6" width="26.7109375" style="15" customWidth="1"/>
    <col min="7" max="7" width="35.28515625" style="15" customWidth="1"/>
    <col min="8" max="8" width="6.28515625" style="15" customWidth="1"/>
    <col min="9" max="16384" width="11" style="15"/>
  </cols>
  <sheetData>
    <row r="2" spans="1:8">
      <c r="A2" s="169"/>
      <c r="B2" s="148"/>
      <c r="C2" s="148"/>
      <c r="D2" s="148"/>
      <c r="E2" s="148"/>
      <c r="F2" s="148"/>
      <c r="G2" s="149"/>
    </row>
    <row r="3" spans="1:8">
      <c r="A3" s="170"/>
      <c r="B3" s="171"/>
      <c r="C3" s="150" t="s">
        <v>27</v>
      </c>
      <c r="D3" s="150"/>
      <c r="E3" s="150"/>
      <c r="F3" s="150"/>
      <c r="G3" s="151"/>
    </row>
    <row r="4" spans="1:8">
      <c r="A4" s="172"/>
      <c r="B4" s="152"/>
      <c r="C4" s="152"/>
      <c r="D4" s="152"/>
      <c r="E4" s="152"/>
      <c r="F4" s="152"/>
      <c r="G4" s="153"/>
    </row>
    <row r="5" spans="1:8">
      <c r="A5" s="25"/>
      <c r="B5" s="25"/>
      <c r="C5" s="25"/>
      <c r="D5" s="25"/>
      <c r="E5" s="25"/>
      <c r="F5" s="25"/>
      <c r="G5" s="25"/>
    </row>
    <row r="7" spans="1:8" ht="14.25" customHeight="1">
      <c r="B7" s="26"/>
      <c r="C7" s="26"/>
      <c r="D7" s="154" t="s">
        <v>28</v>
      </c>
      <c r="E7" s="154"/>
      <c r="F7" s="154"/>
      <c r="G7" s="27"/>
    </row>
    <row r="8" spans="1:8">
      <c r="D8" s="155" t="s">
        <v>29</v>
      </c>
      <c r="E8" s="155"/>
      <c r="F8" s="29" t="s">
        <v>35</v>
      </c>
      <c r="G8" s="30"/>
    </row>
    <row r="9" spans="1:8">
      <c r="D9" s="155" t="s">
        <v>31</v>
      </c>
      <c r="E9" s="155"/>
      <c r="F9" s="29" t="s">
        <v>32</v>
      </c>
      <c r="G9" s="30"/>
    </row>
    <row r="10" spans="1:8">
      <c r="D10" s="155" t="s">
        <v>33</v>
      </c>
      <c r="E10" s="155"/>
      <c r="F10" s="29" t="s">
        <v>30</v>
      </c>
      <c r="G10" s="30"/>
    </row>
    <row r="11" spans="1:8">
      <c r="D11" s="155" t="s">
        <v>34</v>
      </c>
      <c r="E11" s="155"/>
      <c r="F11" s="29" t="s">
        <v>35</v>
      </c>
      <c r="G11" s="30"/>
    </row>
    <row r="12" spans="1:8">
      <c r="D12" s="30"/>
      <c r="E12" s="30"/>
      <c r="F12" s="30"/>
      <c r="G12" s="30"/>
    </row>
    <row r="13" spans="1:8">
      <c r="D13" s="30"/>
      <c r="E13" s="30"/>
      <c r="F13" s="30"/>
      <c r="G13" s="30"/>
    </row>
    <row r="15" spans="1:8" ht="14.25">
      <c r="A15" s="156" t="s">
        <v>36</v>
      </c>
      <c r="B15" s="157"/>
      <c r="C15" s="157"/>
      <c r="D15" s="157"/>
      <c r="E15" s="157"/>
      <c r="F15" s="157"/>
      <c r="G15" s="157"/>
    </row>
    <row r="16" spans="1:8" ht="27" customHeight="1">
      <c r="A16" s="158" t="s">
        <v>37</v>
      </c>
      <c r="B16" s="159"/>
      <c r="C16" s="158" t="s">
        <v>38</v>
      </c>
      <c r="D16" s="160"/>
      <c r="E16" s="31" t="s">
        <v>39</v>
      </c>
      <c r="F16" s="19" t="s">
        <v>38</v>
      </c>
      <c r="G16" s="19" t="s">
        <v>40</v>
      </c>
      <c r="H16" s="30"/>
    </row>
    <row r="17" spans="1:8" ht="47.25" customHeight="1">
      <c r="A17" s="164" t="s">
        <v>101</v>
      </c>
      <c r="B17" s="165"/>
      <c r="C17" s="166" t="s">
        <v>23</v>
      </c>
      <c r="D17" s="165"/>
      <c r="E17" s="32" t="s">
        <v>100</v>
      </c>
      <c r="F17" s="32" t="s">
        <v>23</v>
      </c>
      <c r="G17" s="34" t="s">
        <v>71</v>
      </c>
      <c r="H17" s="33"/>
    </row>
    <row r="18" spans="1:8" ht="24" customHeight="1">
      <c r="A18" s="161"/>
      <c r="B18" s="162"/>
      <c r="C18" s="163"/>
      <c r="D18" s="162"/>
      <c r="E18" s="28"/>
      <c r="F18" s="28"/>
      <c r="G18" s="28"/>
      <c r="H18" s="33"/>
    </row>
    <row r="19" spans="1:8" ht="26.25" customHeight="1">
      <c r="A19" s="161"/>
      <c r="B19" s="162"/>
      <c r="C19" s="163"/>
      <c r="D19" s="162"/>
      <c r="E19" s="28"/>
      <c r="F19" s="28"/>
      <c r="G19" s="28"/>
      <c r="H19" s="33"/>
    </row>
    <row r="20" spans="1:8" ht="23.25" customHeight="1">
      <c r="A20" s="161"/>
      <c r="B20" s="162"/>
      <c r="C20" s="163"/>
      <c r="D20" s="162"/>
      <c r="E20" s="28"/>
      <c r="F20" s="28"/>
      <c r="G20" s="28"/>
      <c r="H20" s="33"/>
    </row>
    <row r="21" spans="1:8" ht="21" customHeight="1">
      <c r="A21" s="161"/>
      <c r="B21" s="162"/>
      <c r="C21" s="163"/>
      <c r="D21" s="162"/>
      <c r="E21" s="28"/>
      <c r="F21" s="28"/>
      <c r="G21" s="28"/>
      <c r="H21" s="33"/>
    </row>
    <row r="22" spans="1:8" ht="24" customHeight="1">
      <c r="A22" s="161"/>
      <c r="B22" s="162"/>
      <c r="C22" s="163"/>
      <c r="D22" s="162"/>
      <c r="E22" s="28"/>
      <c r="F22" s="28"/>
      <c r="G22" s="28"/>
      <c r="H22" s="33"/>
    </row>
    <row r="23" spans="1:8" ht="26.25" customHeight="1">
      <c r="A23" s="161"/>
      <c r="B23" s="162"/>
      <c r="C23" s="163"/>
      <c r="D23" s="162"/>
      <c r="E23" s="28"/>
      <c r="F23" s="28"/>
      <c r="G23" s="28"/>
      <c r="H23" s="33"/>
    </row>
    <row r="24" spans="1:8" ht="23.25" customHeight="1">
      <c r="A24" s="161"/>
      <c r="B24" s="162"/>
      <c r="C24" s="163"/>
      <c r="D24" s="162"/>
      <c r="E24" s="28"/>
      <c r="F24" s="28"/>
      <c r="G24" s="28"/>
      <c r="H24" s="33"/>
    </row>
    <row r="25" spans="1:8" ht="21" customHeight="1">
      <c r="A25" s="161"/>
      <c r="B25" s="162"/>
      <c r="C25" s="163"/>
      <c r="D25" s="162"/>
      <c r="E25" s="28"/>
      <c r="F25" s="28"/>
      <c r="G25" s="28"/>
      <c r="H25" s="33"/>
    </row>
    <row r="26" spans="1:8" ht="24" customHeight="1">
      <c r="A26" s="161"/>
      <c r="B26" s="162"/>
      <c r="C26" s="163"/>
      <c r="D26" s="162"/>
      <c r="E26" s="28"/>
      <c r="F26" s="28"/>
      <c r="G26" s="28"/>
      <c r="H26" s="33"/>
    </row>
    <row r="27" spans="1:8" ht="26.25" customHeight="1">
      <c r="A27" s="161"/>
      <c r="B27" s="162"/>
      <c r="C27" s="163"/>
      <c r="D27" s="162"/>
      <c r="E27" s="28"/>
      <c r="F27" s="28"/>
      <c r="G27" s="28"/>
      <c r="H27" s="33"/>
    </row>
    <row r="28" spans="1:8" ht="23.25" customHeight="1">
      <c r="A28" s="161"/>
      <c r="B28" s="162"/>
      <c r="C28" s="163"/>
      <c r="D28" s="162"/>
      <c r="E28" s="28"/>
      <c r="F28" s="28"/>
      <c r="G28" s="28"/>
      <c r="H28" s="33"/>
    </row>
    <row r="30" spans="1:8" ht="12" customHeight="1">
      <c r="A30" s="167"/>
      <c r="B30" s="167"/>
      <c r="C30" s="167"/>
      <c r="D30" s="167"/>
      <c r="E30" s="167"/>
      <c r="F30" s="167"/>
      <c r="G30" s="168"/>
    </row>
  </sheetData>
  <mergeCells count="37">
    <mergeCell ref="A30:G30"/>
    <mergeCell ref="A2:B4"/>
    <mergeCell ref="A26:B26"/>
    <mergeCell ref="C26:D26"/>
    <mergeCell ref="A27:B27"/>
    <mergeCell ref="C27:D27"/>
    <mergeCell ref="A28:B28"/>
    <mergeCell ref="C28:D28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D9:E9"/>
    <mergeCell ref="D10:E10"/>
    <mergeCell ref="D11:E11"/>
    <mergeCell ref="A15:G15"/>
    <mergeCell ref="A16:B16"/>
    <mergeCell ref="C16:D16"/>
    <mergeCell ref="C2:G2"/>
    <mergeCell ref="C3:G3"/>
    <mergeCell ref="C4:G4"/>
    <mergeCell ref="D7:F7"/>
    <mergeCell ref="D8:E8"/>
  </mergeCells>
  <pageMargins left="0.39370078740157499" right="0.39370078740157499" top="0.39370078740157499" bottom="0.39370078740157499" header="0.39370078740157499" footer="0.39370078740157499"/>
  <pageSetup orientation="landscape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20"/>
  <sheetViews>
    <sheetView topLeftCell="A10" zoomScale="90" zoomScaleNormal="90" workbookViewId="0">
      <selection activeCell="F20" sqref="F20"/>
    </sheetView>
  </sheetViews>
  <sheetFormatPr baseColWidth="10" defaultColWidth="11" defaultRowHeight="14.25"/>
  <cols>
    <col min="1" max="1" width="4" style="2" customWidth="1"/>
    <col min="2" max="2" width="12.7109375" style="2" customWidth="1"/>
    <col min="3" max="3" width="20.28515625" style="2" customWidth="1"/>
    <col min="4" max="4" width="10.7109375" style="2" customWidth="1"/>
    <col min="5" max="5" width="27.85546875" style="2" customWidth="1"/>
    <col min="6" max="6" width="28.85546875" style="2" customWidth="1"/>
    <col min="7" max="7" width="30.5703125" style="2" customWidth="1"/>
    <col min="8" max="8" width="25" style="2" customWidth="1"/>
    <col min="9" max="9" width="11.28515625" style="2" hidden="1" customWidth="1"/>
    <col min="10" max="10" width="11" style="2"/>
    <col min="11" max="11" width="22.5703125" style="2" customWidth="1"/>
    <col min="12" max="12" width="11" style="2" hidden="1" customWidth="1"/>
    <col min="13" max="13" width="20.140625" style="2" customWidth="1"/>
    <col min="14" max="14" width="20.140625" style="2" hidden="1" customWidth="1"/>
    <col min="15" max="16384" width="11" style="2"/>
  </cols>
  <sheetData>
    <row r="2" spans="1:14" ht="15">
      <c r="A2" s="174"/>
      <c r="B2" s="133"/>
      <c r="C2" s="179"/>
      <c r="D2" s="179"/>
      <c r="E2" s="179"/>
      <c r="F2" s="179"/>
      <c r="G2" s="179"/>
      <c r="H2" s="180"/>
    </row>
    <row r="3" spans="1:14" ht="15">
      <c r="A3" s="175"/>
      <c r="B3" s="176"/>
      <c r="C3" s="181" t="s">
        <v>41</v>
      </c>
      <c r="D3" s="181"/>
      <c r="E3" s="181"/>
      <c r="F3" s="181"/>
      <c r="G3" s="181"/>
      <c r="H3" s="182"/>
    </row>
    <row r="4" spans="1:14" ht="15">
      <c r="A4" s="177"/>
      <c r="B4" s="138"/>
      <c r="C4" s="183"/>
      <c r="D4" s="183"/>
      <c r="E4" s="183"/>
      <c r="F4" s="183"/>
      <c r="G4" s="183"/>
      <c r="H4" s="184"/>
    </row>
    <row r="5" spans="1:14">
      <c r="A5" s="44"/>
      <c r="B5" s="44"/>
      <c r="C5" s="44"/>
      <c r="D5" s="44"/>
      <c r="E5" s="44"/>
      <c r="F5" s="44"/>
      <c r="G5" s="44"/>
      <c r="H5" s="44"/>
    </row>
    <row r="7" spans="1:14">
      <c r="A7" s="185" t="s">
        <v>42</v>
      </c>
      <c r="B7" s="186"/>
      <c r="C7" s="186"/>
      <c r="D7" s="186"/>
      <c r="E7" s="186"/>
      <c r="F7" s="186"/>
      <c r="G7" s="186"/>
      <c r="H7" s="186"/>
      <c r="I7" s="187"/>
    </row>
    <row r="8" spans="1:14">
      <c r="A8" s="178"/>
      <c r="B8" s="178"/>
      <c r="C8" s="178"/>
      <c r="D8" s="178"/>
      <c r="E8" s="178"/>
      <c r="F8" s="178"/>
      <c r="G8" s="178"/>
      <c r="H8" s="178"/>
    </row>
    <row r="9" spans="1:14">
      <c r="A9" s="178"/>
      <c r="B9" s="178"/>
      <c r="C9" s="178"/>
      <c r="D9" s="178"/>
      <c r="E9" s="178"/>
      <c r="F9" s="178"/>
      <c r="G9" s="178"/>
      <c r="H9" s="178"/>
    </row>
    <row r="10" spans="1:14">
      <c r="A10" s="178"/>
      <c r="B10" s="178"/>
      <c r="C10" s="178"/>
      <c r="D10" s="178"/>
      <c r="E10" s="178"/>
      <c r="F10" s="178"/>
      <c r="G10" s="178"/>
      <c r="H10" s="178"/>
    </row>
    <row r="11" spans="1:14">
      <c r="A11" s="45"/>
      <c r="B11" s="45"/>
      <c r="C11" s="45"/>
      <c r="D11" s="45"/>
      <c r="E11" s="45"/>
      <c r="F11" s="45"/>
      <c r="G11" s="45"/>
      <c r="H11" s="45"/>
    </row>
    <row r="12" spans="1:14" ht="14.25" customHeight="1">
      <c r="A12" s="188" t="s">
        <v>43</v>
      </c>
      <c r="B12" s="189"/>
      <c r="C12" s="189"/>
      <c r="D12" s="189"/>
      <c r="E12" s="189"/>
      <c r="F12" s="189"/>
      <c r="G12" s="189"/>
      <c r="H12" s="190"/>
    </row>
    <row r="13" spans="1:14" s="49" customFormat="1" ht="12.75">
      <c r="A13" s="46" t="s">
        <v>16</v>
      </c>
      <c r="B13" s="141" t="s">
        <v>17</v>
      </c>
      <c r="C13" s="141"/>
      <c r="D13" s="141"/>
      <c r="E13" s="47" t="s">
        <v>44</v>
      </c>
      <c r="F13" s="48" t="s">
        <v>19</v>
      </c>
      <c r="G13" s="46" t="s">
        <v>21</v>
      </c>
      <c r="H13" s="46" t="s">
        <v>22</v>
      </c>
    </row>
    <row r="14" spans="1:14" ht="47.25" customHeight="1">
      <c r="A14" s="23">
        <v>1</v>
      </c>
      <c r="B14" s="164" t="s">
        <v>97</v>
      </c>
      <c r="C14" s="166"/>
      <c r="D14" s="173"/>
      <c r="E14" s="24">
        <f>'Plan de trabajo'!E21</f>
        <v>46135.993055555526</v>
      </c>
      <c r="F14" s="24">
        <v>46136.006944444445</v>
      </c>
      <c r="G14" s="34" t="s">
        <v>113</v>
      </c>
      <c r="H14" s="37"/>
      <c r="L14" s="51">
        <v>6.9444444444444441E-3</v>
      </c>
    </row>
    <row r="15" spans="1:14" ht="52.5" customHeight="1">
      <c r="A15" s="58">
        <v>2</v>
      </c>
      <c r="B15" s="164" t="s">
        <v>106</v>
      </c>
      <c r="C15" s="166"/>
      <c r="D15" s="173"/>
      <c r="E15" s="24">
        <f>F14</f>
        <v>46136.006944444445</v>
      </c>
      <c r="F15" s="24">
        <f>E15+N15</f>
        <v>46136.010416666664</v>
      </c>
      <c r="G15" s="34" t="s">
        <v>71</v>
      </c>
      <c r="H15" s="37"/>
      <c r="L15" s="51">
        <v>6.9444444444444441E-3</v>
      </c>
      <c r="N15" s="59">
        <v>3.472222222222222E-3</v>
      </c>
    </row>
    <row r="16" spans="1:14" ht="61.5" customHeight="1">
      <c r="A16" s="58">
        <v>3</v>
      </c>
      <c r="B16" s="142" t="s">
        <v>98</v>
      </c>
      <c r="C16" s="191"/>
      <c r="D16" s="143"/>
      <c r="E16" s="24">
        <f>F15</f>
        <v>46136.010416666664</v>
      </c>
      <c r="F16" s="24">
        <f>E16+N16</f>
        <v>46136.013888888883</v>
      </c>
      <c r="G16" s="34" t="s">
        <v>71</v>
      </c>
      <c r="H16" s="37"/>
      <c r="L16" s="51">
        <v>6.9444444444444441E-3</v>
      </c>
      <c r="N16" s="59">
        <v>3.472222222222222E-3</v>
      </c>
    </row>
    <row r="17" spans="1:14" ht="49.5" customHeight="1">
      <c r="A17" s="58">
        <v>4</v>
      </c>
      <c r="B17" s="164" t="s">
        <v>107</v>
      </c>
      <c r="C17" s="166"/>
      <c r="D17" s="173"/>
      <c r="E17" s="24">
        <f t="shared" ref="E17:E18" si="0">F16</f>
        <v>46136.013888888883</v>
      </c>
      <c r="F17" s="24">
        <f t="shared" ref="F17:F18" si="1">E17+N17</f>
        <v>46136.017361111102</v>
      </c>
      <c r="G17" s="34" t="s">
        <v>71</v>
      </c>
      <c r="H17" s="37"/>
      <c r="L17" s="51">
        <v>6.9444444444444441E-3</v>
      </c>
      <c r="N17" s="59">
        <v>3.472222222222222E-3</v>
      </c>
    </row>
    <row r="18" spans="1:14" ht="55.5" customHeight="1">
      <c r="A18" s="58">
        <v>5</v>
      </c>
      <c r="B18" s="164" t="s">
        <v>67</v>
      </c>
      <c r="C18" s="166"/>
      <c r="D18" s="173"/>
      <c r="E18" s="24">
        <f t="shared" si="0"/>
        <v>46136.017361111102</v>
      </c>
      <c r="F18" s="24">
        <f t="shared" si="1"/>
        <v>46136.086805555547</v>
      </c>
      <c r="G18" s="34" t="s">
        <v>113</v>
      </c>
      <c r="H18" s="37"/>
      <c r="L18" s="51">
        <v>6.9444444444444441E-3</v>
      </c>
      <c r="N18" s="59">
        <v>6.9444444444444434E-2</v>
      </c>
    </row>
    <row r="19" spans="1:14" ht="57" customHeight="1">
      <c r="A19" s="58">
        <v>6</v>
      </c>
      <c r="B19" s="164" t="s">
        <v>103</v>
      </c>
      <c r="C19" s="166"/>
      <c r="D19" s="173"/>
      <c r="E19" s="24">
        <f>F18</f>
        <v>46136.086805555547</v>
      </c>
      <c r="F19" s="24">
        <f t="shared" ref="F19" si="2">E19+N19</f>
        <v>46136.090277777766</v>
      </c>
      <c r="G19" s="57" t="s">
        <v>95</v>
      </c>
      <c r="H19" s="37"/>
      <c r="L19" s="51">
        <v>6.9444444444444441E-3</v>
      </c>
      <c r="N19" s="59">
        <v>3.472222222222222E-3</v>
      </c>
    </row>
    <row r="20" spans="1:14" ht="57" customHeight="1">
      <c r="A20" s="60">
        <v>7</v>
      </c>
      <c r="B20" s="164" t="s">
        <v>26</v>
      </c>
      <c r="C20" s="166"/>
      <c r="D20" s="173"/>
      <c r="E20" s="24">
        <f>F19</f>
        <v>46136.090277777766</v>
      </c>
      <c r="F20" s="24">
        <f t="shared" ref="F20" si="3">E20+N20</f>
        <v>46136.093749999985</v>
      </c>
      <c r="G20" s="34" t="s">
        <v>113</v>
      </c>
      <c r="H20" s="37"/>
      <c r="L20" s="51">
        <v>6.9444444444444441E-3</v>
      </c>
      <c r="N20" s="59">
        <v>3.472222222222222E-3</v>
      </c>
    </row>
  </sheetData>
  <mergeCells count="15">
    <mergeCell ref="B20:D20"/>
    <mergeCell ref="B19:D19"/>
    <mergeCell ref="A2:B4"/>
    <mergeCell ref="A8:H10"/>
    <mergeCell ref="B13:D13"/>
    <mergeCell ref="C2:H2"/>
    <mergeCell ref="C3:H3"/>
    <mergeCell ref="C4:H4"/>
    <mergeCell ref="A7:I7"/>
    <mergeCell ref="A12:H12"/>
    <mergeCell ref="B17:D17"/>
    <mergeCell ref="B15:D15"/>
    <mergeCell ref="B16:D16"/>
    <mergeCell ref="B14:D14"/>
    <mergeCell ref="B18:D18"/>
  </mergeCells>
  <pageMargins left="0.39370078740157499" right="0.39370078740157499" top="0.39370078740157499" bottom="0.39370078740157499" header="0.39370078740157499" footer="0.39370078740157499"/>
  <pageSetup orientation="landscape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16"/>
  <sheetViews>
    <sheetView topLeftCell="A7" zoomScale="90" zoomScaleNormal="90" workbookViewId="0">
      <selection activeCell="D22" sqref="D22"/>
    </sheetView>
  </sheetViews>
  <sheetFormatPr baseColWidth="10" defaultColWidth="11" defaultRowHeight="14.25"/>
  <cols>
    <col min="1" max="1" width="4" style="1" customWidth="1"/>
    <col min="2" max="2" width="12.7109375" style="1" customWidth="1"/>
    <col min="3" max="3" width="16" style="1" customWidth="1"/>
    <col min="4" max="4" width="10.7109375" style="1" customWidth="1"/>
    <col min="5" max="5" width="34.28515625" style="1" customWidth="1"/>
    <col min="6" max="6" width="29.28515625" style="1" customWidth="1"/>
    <col min="7" max="7" width="24.28515625" style="1" customWidth="1"/>
    <col min="8" max="8" width="27.140625" style="16" customWidth="1"/>
    <col min="9" max="9" width="11.28515625" style="1" hidden="1" customWidth="1"/>
    <col min="10" max="12" width="11" style="1"/>
    <col min="13" max="13" width="17.5703125" style="1" customWidth="1"/>
    <col min="14" max="14" width="11" style="1" hidden="1" customWidth="1"/>
    <col min="15" max="16384" width="11" style="1"/>
  </cols>
  <sheetData>
    <row r="2" spans="1:9" ht="15">
      <c r="A2" s="195"/>
      <c r="B2" s="196"/>
      <c r="C2" s="196"/>
      <c r="D2" s="196"/>
      <c r="E2" s="196"/>
      <c r="F2" s="196"/>
      <c r="G2" s="196"/>
      <c r="H2" s="206"/>
    </row>
    <row r="3" spans="1:9" ht="15">
      <c r="A3" s="197"/>
      <c r="B3" s="198"/>
      <c r="C3" s="207" t="s">
        <v>45</v>
      </c>
      <c r="D3" s="207"/>
      <c r="E3" s="207"/>
      <c r="F3" s="207"/>
      <c r="G3" s="207"/>
      <c r="H3" s="208"/>
    </row>
    <row r="4" spans="1:9" ht="15">
      <c r="A4" s="199"/>
      <c r="B4" s="200"/>
      <c r="C4" s="200"/>
      <c r="D4" s="200"/>
      <c r="E4" s="200"/>
      <c r="F4" s="200"/>
      <c r="G4" s="200"/>
      <c r="H4" s="209"/>
    </row>
    <row r="5" spans="1:9">
      <c r="A5" s="17"/>
      <c r="B5" s="17"/>
      <c r="C5" s="17"/>
      <c r="D5" s="17"/>
      <c r="E5" s="17"/>
      <c r="F5" s="17"/>
      <c r="G5" s="17"/>
      <c r="H5" s="18"/>
    </row>
    <row r="7" spans="1:9">
      <c r="A7" s="210" t="s">
        <v>42</v>
      </c>
      <c r="B7" s="211"/>
      <c r="C7" s="211"/>
      <c r="D7" s="211"/>
      <c r="E7" s="211"/>
      <c r="F7" s="211"/>
      <c r="G7" s="211"/>
      <c r="H7" s="211"/>
      <c r="I7" s="212"/>
    </row>
    <row r="8" spans="1:9">
      <c r="A8" s="201"/>
      <c r="B8" s="202"/>
      <c r="C8" s="202"/>
      <c r="D8" s="202"/>
      <c r="E8" s="202"/>
      <c r="F8" s="202"/>
      <c r="G8" s="202"/>
      <c r="H8" s="202"/>
    </row>
    <row r="9" spans="1:9">
      <c r="A9" s="178"/>
      <c r="B9" s="178"/>
      <c r="C9" s="178"/>
      <c r="D9" s="178"/>
      <c r="E9" s="178"/>
      <c r="F9" s="178"/>
      <c r="G9" s="178"/>
      <c r="H9" s="178"/>
    </row>
    <row r="10" spans="1:9">
      <c r="A10" s="178"/>
      <c r="B10" s="178"/>
      <c r="C10" s="178"/>
      <c r="D10" s="178"/>
      <c r="E10" s="178"/>
      <c r="F10" s="178"/>
      <c r="G10" s="178"/>
      <c r="H10" s="178"/>
    </row>
    <row r="11" spans="1:9">
      <c r="A11" s="213"/>
      <c r="B11" s="213"/>
      <c r="C11" s="213"/>
      <c r="D11" s="213"/>
      <c r="E11" s="213"/>
      <c r="F11" s="213"/>
      <c r="G11" s="213"/>
      <c r="H11" s="213"/>
    </row>
    <row r="12" spans="1:9" ht="15" customHeight="1">
      <c r="A12" s="203" t="s">
        <v>43</v>
      </c>
      <c r="B12" s="204"/>
      <c r="C12" s="204"/>
      <c r="D12" s="204"/>
      <c r="E12" s="204"/>
      <c r="F12" s="204"/>
      <c r="G12" s="204"/>
      <c r="H12" s="205"/>
    </row>
    <row r="13" spans="1:9" s="15" customFormat="1" ht="12.75">
      <c r="A13" s="19" t="s">
        <v>16</v>
      </c>
      <c r="B13" s="154" t="s">
        <v>17</v>
      </c>
      <c r="C13" s="154"/>
      <c r="D13" s="154"/>
      <c r="E13" s="20" t="s">
        <v>44</v>
      </c>
      <c r="F13" s="21" t="s">
        <v>19</v>
      </c>
      <c r="G13" s="22" t="s">
        <v>21</v>
      </c>
      <c r="H13" s="19" t="s">
        <v>22</v>
      </c>
    </row>
    <row r="14" spans="1:9" ht="51" customHeight="1">
      <c r="A14" s="5">
        <v>1</v>
      </c>
      <c r="B14" s="192" t="s">
        <v>92</v>
      </c>
      <c r="C14" s="193"/>
      <c r="D14" s="194"/>
      <c r="E14" s="24">
        <v>46135.541666666664</v>
      </c>
      <c r="F14" s="24">
        <v>46135.545138888891</v>
      </c>
      <c r="G14" s="34" t="s">
        <v>72</v>
      </c>
      <c r="H14" s="5"/>
    </row>
    <row r="15" spans="1:9" ht="36" customHeight="1">
      <c r="A15" s="5"/>
      <c r="B15" s="192"/>
      <c r="C15" s="193"/>
      <c r="D15" s="194"/>
      <c r="E15" s="5"/>
      <c r="F15" s="5"/>
      <c r="G15" s="7"/>
      <c r="H15" s="5"/>
    </row>
    <row r="16" spans="1:9" ht="42" customHeight="1">
      <c r="A16" s="5"/>
      <c r="B16" s="192"/>
      <c r="C16" s="193"/>
      <c r="D16" s="194"/>
      <c r="E16" s="5"/>
      <c r="F16" s="5"/>
      <c r="G16" s="7"/>
      <c r="H16" s="5"/>
    </row>
  </sheetData>
  <mergeCells count="12">
    <mergeCell ref="B14:D14"/>
    <mergeCell ref="B15:D15"/>
    <mergeCell ref="B16:D16"/>
    <mergeCell ref="A2:B4"/>
    <mergeCell ref="A8:H10"/>
    <mergeCell ref="A12:H12"/>
    <mergeCell ref="B13:D13"/>
    <mergeCell ref="C2:H2"/>
    <mergeCell ref="C3:H3"/>
    <mergeCell ref="C4:H4"/>
    <mergeCell ref="A7:I7"/>
    <mergeCell ref="A11:H11"/>
  </mergeCells>
  <pageMargins left="0.39370078740157499" right="0.39370078740157499" top="0.39370078740157499" bottom="0.39370078740157499" header="0" footer="0"/>
  <pageSetup orientation="landscape" horizontalDpi="300" verticalDpi="300"/>
  <headerFooter alignWithMargins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M23"/>
  <sheetViews>
    <sheetView tabSelected="1" topLeftCell="A22" zoomScale="90" zoomScaleNormal="90" workbookViewId="0">
      <selection activeCell="D31" sqref="D31"/>
    </sheetView>
  </sheetViews>
  <sheetFormatPr baseColWidth="10" defaultColWidth="11" defaultRowHeight="14.25"/>
  <cols>
    <col min="1" max="1" width="4.28515625" style="1" customWidth="1"/>
    <col min="2" max="2" width="16.7109375" style="1" customWidth="1"/>
    <col min="3" max="3" width="17.28515625" style="1" customWidth="1"/>
    <col min="4" max="4" width="39.7109375" style="1" customWidth="1"/>
    <col min="5" max="5" width="36.28515625" style="1" customWidth="1"/>
    <col min="6" max="6" width="22.140625" style="1" customWidth="1"/>
    <col min="7" max="7" width="20" style="1" customWidth="1"/>
    <col min="8" max="8" width="3.85546875" style="1" customWidth="1"/>
    <col min="9" max="9" width="4.28515625" style="1" customWidth="1"/>
    <col min="10" max="10" width="5.7109375" style="1" customWidth="1"/>
    <col min="11" max="11" width="23.28515625" style="1" customWidth="1"/>
    <col min="12" max="12" width="10.85546875" style="1" customWidth="1"/>
    <col min="13" max="13" width="16.5703125" style="1" hidden="1" customWidth="1"/>
    <col min="14" max="16384" width="11" style="1"/>
  </cols>
  <sheetData>
    <row r="2" spans="1:13" ht="15">
      <c r="A2" s="195"/>
      <c r="B2" s="196"/>
      <c r="C2" s="196"/>
      <c r="D2" s="196"/>
      <c r="E2" s="196"/>
      <c r="F2" s="196"/>
      <c r="G2" s="196"/>
      <c r="H2" s="196"/>
      <c r="I2" s="196"/>
      <c r="J2" s="196"/>
      <c r="K2" s="206"/>
    </row>
    <row r="3" spans="1:13" ht="15">
      <c r="A3" s="197"/>
      <c r="B3" s="198"/>
      <c r="C3" s="207" t="s">
        <v>46</v>
      </c>
      <c r="D3" s="216"/>
      <c r="E3" s="216"/>
      <c r="F3" s="216"/>
      <c r="G3" s="216"/>
      <c r="H3" s="216"/>
      <c r="I3" s="216"/>
      <c r="J3" s="216"/>
      <c r="K3" s="208"/>
    </row>
    <row r="4" spans="1:13" ht="15">
      <c r="A4" s="199"/>
      <c r="B4" s="200"/>
      <c r="C4" s="217"/>
      <c r="D4" s="217"/>
      <c r="E4" s="217"/>
      <c r="F4" s="217"/>
      <c r="G4" s="217"/>
      <c r="H4" s="217"/>
      <c r="I4" s="217"/>
      <c r="J4" s="217"/>
      <c r="K4" s="218"/>
    </row>
    <row r="5" spans="1:13" ht="15">
      <c r="A5" s="3"/>
      <c r="B5" s="3"/>
      <c r="C5" s="4"/>
      <c r="D5" s="4"/>
      <c r="E5" s="4"/>
      <c r="F5" s="4"/>
      <c r="G5" s="4"/>
      <c r="H5" s="4"/>
      <c r="I5" s="4"/>
      <c r="J5" s="4"/>
      <c r="K5" s="13"/>
    </row>
    <row r="7" spans="1:13">
      <c r="A7" s="219" t="s">
        <v>47</v>
      </c>
      <c r="B7" s="219"/>
      <c r="C7" s="5"/>
      <c r="D7" s="219" t="s">
        <v>48</v>
      </c>
      <c r="E7" s="219"/>
      <c r="F7" s="6" t="s">
        <v>49</v>
      </c>
      <c r="G7" s="6" t="s">
        <v>73</v>
      </c>
      <c r="H7" s="220" t="s">
        <v>50</v>
      </c>
      <c r="I7" s="221"/>
      <c r="J7" s="221"/>
      <c r="K7" s="6" t="s">
        <v>51</v>
      </c>
    </row>
    <row r="8" spans="1:13">
      <c r="A8" s="219" t="s">
        <v>52</v>
      </c>
      <c r="B8" s="219"/>
      <c r="C8" s="222"/>
      <c r="D8" s="223"/>
      <c r="E8" s="223"/>
      <c r="F8" s="223"/>
      <c r="G8" s="223"/>
      <c r="H8" s="223"/>
      <c r="I8" s="223"/>
      <c r="J8" s="223"/>
      <c r="K8" s="224"/>
    </row>
    <row r="9" spans="1:13">
      <c r="A9" s="219" t="s">
        <v>53</v>
      </c>
      <c r="B9" s="219"/>
      <c r="C9" s="7"/>
      <c r="D9" s="225" t="s">
        <v>54</v>
      </c>
      <c r="E9" s="226"/>
      <c r="F9" s="222"/>
      <c r="G9" s="223"/>
      <c r="H9" s="223"/>
      <c r="I9" s="223"/>
      <c r="J9" s="224"/>
    </row>
    <row r="10" spans="1:13">
      <c r="A10" s="8"/>
      <c r="B10" s="8"/>
      <c r="D10" s="9"/>
      <c r="E10" s="9"/>
      <c r="F10" s="10"/>
      <c r="G10" s="10"/>
      <c r="H10" s="10"/>
      <c r="I10" s="10"/>
      <c r="J10" s="10"/>
    </row>
    <row r="12" spans="1:13">
      <c r="A12" s="227" t="s">
        <v>55</v>
      </c>
      <c r="B12" s="228"/>
      <c r="C12" s="228"/>
      <c r="D12" s="228"/>
      <c r="E12" s="228"/>
      <c r="F12" s="228"/>
      <c r="G12" s="228"/>
      <c r="H12" s="228"/>
      <c r="I12" s="228"/>
      <c r="J12" s="228"/>
      <c r="K12" s="229"/>
    </row>
    <row r="13" spans="1:13" ht="30.75" customHeight="1">
      <c r="A13" s="235" t="s">
        <v>16</v>
      </c>
      <c r="B13" s="237" t="s">
        <v>56</v>
      </c>
      <c r="C13" s="238"/>
      <c r="D13" s="233" t="s">
        <v>57</v>
      </c>
      <c r="E13" s="233" t="s">
        <v>58</v>
      </c>
      <c r="F13" s="233" t="s">
        <v>21</v>
      </c>
      <c r="G13" s="233" t="s">
        <v>59</v>
      </c>
      <c r="H13" s="230" t="s">
        <v>60</v>
      </c>
      <c r="I13" s="231"/>
      <c r="J13" s="232"/>
      <c r="K13" s="233" t="s">
        <v>22</v>
      </c>
    </row>
    <row r="14" spans="1:13" s="2" customFormat="1" ht="24.75" customHeight="1">
      <c r="A14" s="236"/>
      <c r="B14" s="239"/>
      <c r="C14" s="240"/>
      <c r="D14" s="234"/>
      <c r="E14" s="234"/>
      <c r="F14" s="234"/>
      <c r="G14" s="234"/>
      <c r="H14" s="11" t="s">
        <v>23</v>
      </c>
      <c r="I14" s="14" t="s">
        <v>24</v>
      </c>
      <c r="J14" s="14" t="s">
        <v>61</v>
      </c>
      <c r="K14" s="234"/>
    </row>
    <row r="15" spans="1:13" ht="168" customHeight="1">
      <c r="A15" s="61">
        <v>1</v>
      </c>
      <c r="B15" s="214" t="s">
        <v>96</v>
      </c>
      <c r="C15" s="215"/>
      <c r="D15" s="52">
        <f>'Plan de trabajo'!D20</f>
        <v>46135.888888888861</v>
      </c>
      <c r="E15" s="52">
        <f>D15+M15</f>
        <v>46135.895833333307</v>
      </c>
      <c r="F15" s="34" t="s">
        <v>113</v>
      </c>
      <c r="G15" s="62" t="s">
        <v>114</v>
      </c>
      <c r="H15" s="12"/>
      <c r="I15" s="12"/>
      <c r="J15" s="12"/>
      <c r="K15" s="12"/>
      <c r="M15" s="56">
        <v>6.9444444444444441E-3</v>
      </c>
    </row>
    <row r="16" spans="1:13" ht="168" customHeight="1">
      <c r="A16" s="61">
        <v>2</v>
      </c>
      <c r="B16" s="214" t="s">
        <v>115</v>
      </c>
      <c r="C16" s="215"/>
      <c r="D16" s="52">
        <f>E15</f>
        <v>46135.895833333307</v>
      </c>
      <c r="E16" s="52">
        <f>D16+M16</f>
        <v>46135.902777777752</v>
      </c>
      <c r="F16" s="34" t="s">
        <v>113</v>
      </c>
      <c r="G16" s="62" t="s">
        <v>116</v>
      </c>
      <c r="H16" s="12"/>
      <c r="I16" s="12"/>
      <c r="J16" s="12"/>
      <c r="K16" s="12"/>
      <c r="M16" s="56">
        <v>6.9444444444444441E-3</v>
      </c>
    </row>
    <row r="17" spans="1:13" ht="61.5" customHeight="1">
      <c r="A17" s="61">
        <v>3</v>
      </c>
      <c r="B17" s="214" t="s">
        <v>78</v>
      </c>
      <c r="C17" s="215"/>
      <c r="D17" s="52">
        <f>E16</f>
        <v>46135.902777777752</v>
      </c>
      <c r="E17" s="52">
        <f>D17+M17</f>
        <v>46135.916666666642</v>
      </c>
      <c r="F17" s="34" t="s">
        <v>113</v>
      </c>
      <c r="G17" s="12" t="s">
        <v>74</v>
      </c>
      <c r="H17" s="12"/>
      <c r="I17" s="12"/>
      <c r="J17" s="12"/>
      <c r="K17" s="12"/>
      <c r="M17" s="56">
        <v>1.3888888888888888E-2</v>
      </c>
    </row>
    <row r="18" spans="1:13" ht="75.75" customHeight="1">
      <c r="A18" s="61">
        <v>4</v>
      </c>
      <c r="B18" s="214" t="s">
        <v>79</v>
      </c>
      <c r="C18" s="215"/>
      <c r="D18" s="52">
        <f>E17</f>
        <v>46135.916666666642</v>
      </c>
      <c r="E18" s="52">
        <f t="shared" ref="E18:E23" si="0">D18+M18</f>
        <v>46135.934027777752</v>
      </c>
      <c r="F18" s="34" t="s">
        <v>113</v>
      </c>
      <c r="G18" s="12" t="s">
        <v>81</v>
      </c>
      <c r="H18" s="12"/>
      <c r="I18" s="12"/>
      <c r="J18" s="12"/>
      <c r="K18" s="12"/>
      <c r="M18" s="56">
        <v>1.7361111111111112E-2</v>
      </c>
    </row>
    <row r="19" spans="1:13" ht="72.75" customHeight="1">
      <c r="A19" s="61">
        <v>5</v>
      </c>
      <c r="B19" s="214" t="s">
        <v>75</v>
      </c>
      <c r="C19" s="215"/>
      <c r="D19" s="52">
        <f t="shared" ref="D19:D23" si="1">E18</f>
        <v>46135.934027777752</v>
      </c>
      <c r="E19" s="52">
        <f t="shared" si="0"/>
        <v>46135.951388888861</v>
      </c>
      <c r="F19" s="34" t="s">
        <v>113</v>
      </c>
      <c r="G19" s="12" t="s">
        <v>82</v>
      </c>
      <c r="H19" s="12"/>
      <c r="I19" s="12"/>
      <c r="J19" s="12"/>
      <c r="K19" s="12"/>
      <c r="M19" s="56">
        <v>1.7361111111111112E-2</v>
      </c>
    </row>
    <row r="20" spans="1:13" ht="81.75" customHeight="1">
      <c r="A20" s="61">
        <v>6</v>
      </c>
      <c r="B20" s="214" t="s">
        <v>77</v>
      </c>
      <c r="C20" s="215"/>
      <c r="D20" s="52">
        <f t="shared" si="1"/>
        <v>46135.951388888861</v>
      </c>
      <c r="E20" s="52">
        <f t="shared" si="0"/>
        <v>46135.965277777752</v>
      </c>
      <c r="F20" s="34" t="s">
        <v>113</v>
      </c>
      <c r="G20" s="12" t="s">
        <v>84</v>
      </c>
      <c r="H20" s="12"/>
      <c r="I20" s="12"/>
      <c r="J20" s="12"/>
      <c r="K20" s="12"/>
      <c r="M20" s="56">
        <v>1.3888888888888888E-2</v>
      </c>
    </row>
    <row r="21" spans="1:13" ht="141.75" customHeight="1">
      <c r="A21" s="61">
        <v>7</v>
      </c>
      <c r="B21" s="214" t="s">
        <v>76</v>
      </c>
      <c r="C21" s="215"/>
      <c r="D21" s="52">
        <f t="shared" si="1"/>
        <v>46135.965277777752</v>
      </c>
      <c r="E21" s="52">
        <f t="shared" si="0"/>
        <v>46135.975694444416</v>
      </c>
      <c r="F21" s="34" t="s">
        <v>113</v>
      </c>
      <c r="G21" s="12" t="s">
        <v>83</v>
      </c>
      <c r="H21" s="12"/>
      <c r="I21" s="12"/>
      <c r="J21" s="12"/>
      <c r="K21" s="12"/>
      <c r="M21" s="56">
        <v>1.0416666666666666E-2</v>
      </c>
    </row>
    <row r="22" spans="1:13" ht="141.75" customHeight="1">
      <c r="A22" s="61">
        <v>8</v>
      </c>
      <c r="B22" s="214" t="s">
        <v>80</v>
      </c>
      <c r="C22" s="215"/>
      <c r="D22" s="52">
        <f t="shared" si="1"/>
        <v>46135.975694444416</v>
      </c>
      <c r="E22" s="52">
        <f t="shared" si="0"/>
        <v>46135.979166666635</v>
      </c>
      <c r="F22" s="34" t="s">
        <v>113</v>
      </c>
      <c r="G22" s="12" t="s">
        <v>85</v>
      </c>
      <c r="H22" s="12"/>
      <c r="I22" s="12"/>
      <c r="J22" s="12"/>
      <c r="K22" s="12"/>
      <c r="M22" s="56">
        <v>3.472222222222222E-3</v>
      </c>
    </row>
    <row r="23" spans="1:13" ht="57">
      <c r="A23" s="61">
        <v>9</v>
      </c>
      <c r="B23" s="214" t="s">
        <v>93</v>
      </c>
      <c r="C23" s="215"/>
      <c r="D23" s="52">
        <f t="shared" si="1"/>
        <v>46135.979166666635</v>
      </c>
      <c r="E23" s="52">
        <f t="shared" si="0"/>
        <v>46135.98611111108</v>
      </c>
      <c r="F23" s="34" t="s">
        <v>113</v>
      </c>
      <c r="G23" s="12" t="s">
        <v>94</v>
      </c>
      <c r="H23" s="12"/>
      <c r="I23" s="12"/>
      <c r="J23" s="12"/>
      <c r="K23" s="12"/>
      <c r="M23" s="56">
        <v>6.9444444444444441E-3</v>
      </c>
    </row>
  </sheetData>
  <mergeCells count="30">
    <mergeCell ref="A12:K12"/>
    <mergeCell ref="H13:J13"/>
    <mergeCell ref="B15:C15"/>
    <mergeCell ref="B17:C17"/>
    <mergeCell ref="D13:D14"/>
    <mergeCell ref="E13:E14"/>
    <mergeCell ref="F13:F14"/>
    <mergeCell ref="G13:G14"/>
    <mergeCell ref="K13:K14"/>
    <mergeCell ref="A13:A14"/>
    <mergeCell ref="B13:C14"/>
    <mergeCell ref="A8:B8"/>
    <mergeCell ref="C8:K8"/>
    <mergeCell ref="A9:B9"/>
    <mergeCell ref="D9:E9"/>
    <mergeCell ref="F9:J9"/>
    <mergeCell ref="C2:K2"/>
    <mergeCell ref="C3:K3"/>
    <mergeCell ref="C4:K4"/>
    <mergeCell ref="A7:B7"/>
    <mergeCell ref="D7:E7"/>
    <mergeCell ref="H7:J7"/>
    <mergeCell ref="A2:B4"/>
    <mergeCell ref="B23:C23"/>
    <mergeCell ref="B16:C16"/>
    <mergeCell ref="B18:C18"/>
    <mergeCell ref="B19:C19"/>
    <mergeCell ref="B20:C20"/>
    <mergeCell ref="B21:C21"/>
    <mergeCell ref="B22:C22"/>
  </mergeCells>
  <pageMargins left="0.39370078740157499" right="0.39370078740157499" top="0.39370078740157499" bottom="0.39370078740157499" header="0.39370078740157499" footer="0.39370078740157499"/>
  <pageSetup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Generales</vt:lpstr>
      <vt:lpstr>Plan de trabajo</vt:lpstr>
      <vt:lpstr>Impacto</vt:lpstr>
      <vt:lpstr>Plan de Regreso</vt:lpstr>
      <vt:lpstr>Plan de Respaldo o Contingencia</vt:lpstr>
      <vt:lpstr>Plan de Pruebas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Rojas Salazar Dailenys Alexandra</cp:lastModifiedBy>
  <cp:lastPrinted>2009-02-26T20:08:00Z</cp:lastPrinted>
  <dcterms:created xsi:type="dcterms:W3CDTF">2009-01-29T22:59:00Z</dcterms:created>
  <dcterms:modified xsi:type="dcterms:W3CDTF">2026-04-15T15:11:38Z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(3)v3gVTBceA4NkGxKc2RPU6nL03cgJYnvLCWgeRleVZ0v+QmP5Yqi7yJVJYLFiJZcAV3O4RxR/_x000d_
2q/i04uWFizVQz/z2fytWxfo3JNWjQPjE+U4UOzU7Ng521Y/oLrrIGFyg+afbTIBwgO9W6Im_x000d_
DDdXB3whGPlAtsF5oXc1Pownl6dc2lMSUSRyLPrgpICNGNWkY1Qn6GWgSVXdQ9jSME1RjF4M_x000d_
3KokRrdlGDFFY0/S0S</vt:lpwstr>
  </property>
  <property fmtid="{D5CDD505-2E9C-101B-9397-08002B2CF9AE}" pid="3" name="_2015_ms_pID_7253431">
    <vt:lpwstr>JQpXeYmPTmcigl7Zi1o0Xzky2fGH/PRQ4DzKKq3muwGDbV7UmPjBFF_x000d_
f+CNqgo/aMmpTE47P/8Kbh/Qy0KrSrR7bBuOoRC4IHMHw406lkvq+lrbwUgO++GDSKcwhVig_x000d_
1Te23xZvByv6IMdbie4CZ2a+1pGLuhV+4Dj7afPXGvfmmWh671hVVrxJvVedL9aCw3QXMEhY_x000d_
df+SD3Qrj9KGUsbCaaiTo/6APdX3WsFXaNtV</vt:lpwstr>
  </property>
  <property fmtid="{D5CDD505-2E9C-101B-9397-08002B2CF9AE}" pid="4" name="_2015_ms_pID_7253432">
    <vt:lpwstr>mg==</vt:lpwstr>
  </property>
  <property fmtid="{D5CDD505-2E9C-101B-9397-08002B2CF9AE}" pid="5" name="ICV">
    <vt:lpwstr>0810B6743D674A35B0973E8A2A9BDE07_13</vt:lpwstr>
  </property>
  <property fmtid="{D5CDD505-2E9C-101B-9397-08002B2CF9AE}" pid="6" name="KSOProductBuildVer">
    <vt:lpwstr>1033-12.2.0.13215</vt:lpwstr>
  </property>
</Properties>
</file>